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riables" sheetId="1" state="visible" r:id="rId1"/>
    <sheet name="Chart" sheetId="2" state="visible" r:id="rId2"/>
    <sheet name="Data" sheetId="3" state="visible" r:id="rId3"/>
    <sheet name="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£#,##0.00"/>
    <numFmt numFmtId="165" formatCode="£#,##0"/>
    <numFmt numFmtId="166" formatCode="yyyy-mm-dd"/>
    <numFmt numFmtId="167" formatCode="DD/MM/YYYY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164" fontId="0" fillId="3" borderId="0" pivotButton="0" quotePrefix="0" xfId="0"/>
    <xf numFmtId="165" fontId="0" fillId="3" borderId="0" pivotButton="0" quotePrefix="0" xfId="0"/>
    <xf numFmtId="164" fontId="0" fillId="4" borderId="0" pivotButton="0" quotePrefix="0" xfId="0"/>
    <xf numFmtId="165" fontId="0" fillId="4" borderId="0" pivotButton="0" quotePrefix="0" xfId="0"/>
    <xf numFmtId="0" fontId="0" fillId="3" borderId="0" pivotButton="0" quotePrefix="0" xfId="0"/>
    <xf numFmtId="1" fontId="0" fillId="3" borderId="0" pivotButton="0" quotePrefix="0" xfId="0"/>
    <xf numFmtId="167" fontId="0" fillId="3" borderId="0" pivotButton="0" quotePrefix="0" xfId="0"/>
    <xf numFmtId="0" fontId="3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Capital over time (weekly)</a:t>
            </a:r>
          </a:p>
        </rich>
      </tx>
    </title>
    <plotArea>
      <lineChart>
        <grouping val="standard"/>
        <ser>
          <idx val="0"/>
          <order val="0"/>
          <tx>
            <strRef>
              <f>'Data'!AB1</f>
            </strRef>
          </tx>
          <spPr>
            <a:ln w="21000">
              <a:solidFill>
                <a:srgbClr val="1F4E79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'Data'!$B$2:$B$261</f>
            </numRef>
          </cat>
          <val>
            <numRef>
              <f>'Data'!$AB$2:$AB$261</f>
            </numRef>
          </val>
        </ser>
        <ser>
          <idx val="1"/>
          <order val="1"/>
          <tx>
            <strRef>
              <f>'Data'!P1</f>
            </strRef>
          </tx>
          <spPr>
            <a:ln w="15000">
              <a:solidFill>
                <a:srgbClr val="2E8B57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'Data'!$B$2:$B$261</f>
            </numRef>
          </cat>
          <val>
            <numRef>
              <f>'Data'!$P$2:$P$261</f>
            </numRef>
          </val>
        </ser>
        <ser>
          <idx val="2"/>
          <order val="2"/>
          <tx>
            <strRef>
              <f>'Data'!Q1</f>
            </strRef>
          </tx>
          <spPr>
            <a:ln w="15000">
              <a:solidFill>
                <a:srgbClr val="ED7D3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'Data'!$B$2:$B$261</f>
            </numRef>
          </cat>
          <val>
            <numRef>
              <f>'Data'!$Q$2:$Q$261</f>
            </numRef>
          </val>
        </ser>
        <ser>
          <idx val="3"/>
          <order val="3"/>
          <tx>
            <strRef>
              <f>'Data'!S1</f>
            </strRef>
          </tx>
          <spPr>
            <a:ln w="1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'Data'!$B$2:$B$261</f>
            </numRef>
          </cat>
          <val>
            <numRef>
              <f>'Data'!$S$2:$S$261</f>
            </numRef>
          </val>
        </ser>
        <ser>
          <idx val="4"/>
          <order val="4"/>
          <tx>
            <strRef>
              <f>'Data'!T1</f>
            </strRef>
          </tx>
          <spPr>
            <a:ln w="1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'Data'!$B$2:$B$261</f>
            </numRef>
          </cat>
          <val>
            <numRef>
              <f>'Data'!$T$2:$T$261</f>
            </numRef>
          </val>
        </ser>
        <ser>
          <idx val="5"/>
          <order val="5"/>
          <tx>
            <strRef>
              <f>'Data'!X1</f>
            </strRef>
          </tx>
          <spPr>
            <a:ln w="1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'Data'!$B$2:$B$261</f>
            </numRef>
          </cat>
          <val>
            <numRef>
              <f>'Data'!$X$2:$X$261</f>
            </numRef>
          </val>
        </ser>
        <ser>
          <idx val="6"/>
          <order val="6"/>
          <tx>
            <strRef>
              <f>'Data'!AD1</f>
            </strRef>
          </tx>
          <spPr>
            <a:ln w="15000">
              <a:solidFill>
                <a:srgbClr val="FFC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'Data'!$B$2:$B$261</f>
            </numRef>
          </cat>
          <val>
            <numRef>
              <f>'Data'!$AD$2:$AD$261</f>
            </numRef>
          </val>
        </ser>
        <ser>
          <idx val="7"/>
          <order val="7"/>
          <tx>
            <strRef>
              <f>'Data'!AE1</f>
            </strRef>
          </tx>
          <spPr>
            <a:ln w="1500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'Data'!$B$2:$B$261</f>
            </numRef>
          </cat>
          <val>
            <numRef>
              <f>'Data'!$AE$2:$AE$261</f>
            </numRef>
          </val>
        </ser>
        <axId val="10"/>
        <axId val="100"/>
      </lineChart>
      <date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numFmt formatCode="mmm yyyy" sourceLinked="0"/>
        <majorTickMark val="none"/>
        <minorTickMark val="none"/>
        <txPr>
          <a:bodyPr rot="-1800000" vert="horz"/>
          <a:p>
            <a:pPr>
              <a:defRPr sz="800"/>
            </a:pPr>
            <a:r>
              <a:t/>
            </a:r>
            <a:endParaRPr sz="800"/>
          </a:p>
        </txPr>
        <crossAx val="100"/>
      </dateAx>
      <valAx>
        <axId val="100"/>
        <scaling>
          <orientation val="minMax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£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13</row>
      <rowOff>0</rowOff>
    </from>
    <ext cx="1152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72" customWidth="1" min="3" max="3"/>
  </cols>
  <sheetData>
    <row r="1">
      <c r="A1" s="1" t="inlineStr">
        <is>
          <t>Setting</t>
        </is>
      </c>
      <c r="B1" s="1" t="inlineStr">
        <is>
          <t>Value</t>
        </is>
      </c>
      <c r="C1" s="1" t="inlineStr">
        <is>
          <t>Notes</t>
        </is>
      </c>
    </row>
    <row r="2">
      <c r="A2" s="2" t="inlineStr">
        <is>
          <t>Care home fee per week</t>
        </is>
      </c>
      <c r="B2" s="3" t="n">
        <v>2200</v>
      </c>
      <c r="C2" t="inlineStr">
        <is>
          <t>What the home charges (£/week)</t>
        </is>
      </c>
    </row>
    <row r="4">
      <c r="A4" s="2" t="inlineStr">
        <is>
          <t>Cash savings at start</t>
        </is>
      </c>
      <c r="B4" s="4" t="n">
        <v>53000</v>
      </c>
      <c r="C4" t="inlineStr">
        <is>
          <t>£</t>
        </is>
      </c>
    </row>
    <row r="5">
      <c r="A5" s="2" t="inlineStr">
        <is>
          <t>Home value at start</t>
        </is>
      </c>
      <c r="B5" s="4" t="n">
        <v>135000</v>
      </c>
      <c r="C5" t="inlineStr">
        <is>
          <t>£</t>
        </is>
      </c>
    </row>
    <row r="6">
      <c r="A6" s="2" t="inlineStr">
        <is>
          <t>Alimony per year</t>
        </is>
      </c>
      <c r="B6" s="4" t="n">
        <v>25200</v>
      </c>
      <c r="C6" t="inlineStr">
        <is>
          <t>£/year (counted as income)</t>
        </is>
      </c>
    </row>
    <row r="7">
      <c r="A7" s="2" t="inlineStr">
        <is>
          <t>Pension per year</t>
        </is>
      </c>
      <c r="B7" s="4" t="n">
        <v>6500</v>
      </c>
      <c r="C7" t="inlineStr">
        <is>
          <t>£/year (counted as income)</t>
        </is>
      </c>
    </row>
    <row r="8">
      <c r="A8" s="2" t="inlineStr">
        <is>
          <t>Personal Expenses Allowance (PEA)</t>
        </is>
      </c>
      <c r="B8" s="3" t="n">
        <v>35.9</v>
      </c>
      <c r="C8" t="inlineStr">
        <is>
          <t>Weekly council subsidy</t>
        </is>
      </c>
    </row>
    <row r="9">
      <c r="A9" s="2" t="inlineStr">
        <is>
          <t>Computed: weekly income</t>
        </is>
      </c>
      <c r="B9" s="5">
        <f>((B6+B7)/52)+B8</f>
        <v/>
      </c>
    </row>
    <row r="10">
      <c r="A10" s="2" t="inlineStr">
        <is>
          <t>Computed: annual income</t>
        </is>
      </c>
      <c r="B10" s="6">
        <f>SUM(B6:B7)+B8*52</f>
        <v/>
      </c>
    </row>
    <row r="12">
      <c r="A12" s="2" t="inlineStr">
        <is>
          <t>Free Personal Care (FPC) rate</t>
        </is>
      </c>
      <c r="B12" s="3" t="n">
        <v>260.3</v>
      </c>
      <c r="C12" t="inlineStr">
        <is>
          <t>Paid by council regardless of capital (£/week)</t>
        </is>
      </c>
    </row>
    <row r="13">
      <c r="A13" s="2" t="inlineStr">
        <is>
          <t>Free Nursing Care (FNC) rate</t>
        </is>
      </c>
      <c r="B13" s="3" t="n">
        <v>117.1</v>
      </c>
      <c r="C13" t="inlineStr">
        <is>
          <t>Paid only if nursing care awarded (£/week)</t>
        </is>
      </c>
    </row>
    <row r="14">
      <c r="A14" s="2" t="inlineStr">
        <is>
          <t>Nursing care awarded?</t>
        </is>
      </c>
      <c r="B14" s="7" t="inlineStr">
        <is>
          <t>No</t>
        </is>
      </c>
      <c r="C14" t="inlineStr">
        <is>
          <t>Yes = FNC paid + higher standard rate; No = personal-only</t>
        </is>
      </c>
    </row>
    <row r="16">
      <c r="A16" s="2" t="inlineStr">
        <is>
          <t>Council standard rate - personal care only</t>
        </is>
      </c>
      <c r="B16" s="3" t="n">
        <v>930.45</v>
      </c>
      <c r="C16" t="inlineStr">
        <is>
          <t>NCHC rate without nursing (£/week)</t>
        </is>
      </c>
    </row>
    <row r="17">
      <c r="A17" s="2" t="inlineStr">
        <is>
          <t>Council standard rate - with nursing</t>
        </is>
      </c>
      <c r="B17" s="3" t="n">
        <v>1074.13</v>
      </c>
      <c r="C17" t="inlineStr">
        <is>
          <t>NCHC rate including nursing care (£/week)</t>
        </is>
      </c>
    </row>
    <row r="18">
      <c r="A18" s="2" t="inlineStr">
        <is>
          <t>Upper capital limit</t>
        </is>
      </c>
      <c r="B18" s="4" t="n">
        <v>36750</v>
      </c>
      <c r="C18" t="inlineStr">
        <is>
          <t>Above this: self-funder (£)</t>
        </is>
      </c>
    </row>
    <row r="19">
      <c r="A19" s="2" t="inlineStr">
        <is>
          <t>Lower capital limit</t>
        </is>
      </c>
      <c r="B19" s="4" t="n">
        <v>22750</v>
      </c>
      <c r="C19" t="inlineStr">
        <is>
          <t>Below this: no tariff income (£)</t>
        </is>
      </c>
    </row>
    <row r="20">
      <c r="A20" s="2" t="inlineStr">
        <is>
          <t>Tariff income per £250</t>
        </is>
      </c>
      <c r="B20" s="3" t="n">
        <v>1</v>
      </c>
      <c r="C20" t="inlineStr">
        <is>
          <t>£ per week per £250 (or part) over lower limit</t>
        </is>
      </c>
    </row>
    <row r="21">
      <c r="A21" s="2" t="inlineStr">
        <is>
          <t>Tariff band</t>
        </is>
      </c>
      <c r="B21" s="4" t="n">
        <v>250</v>
      </c>
      <c r="C21" t="inlineStr">
        <is>
          <t>£ of capital per tariff band</t>
        </is>
      </c>
    </row>
    <row r="22">
      <c r="A22" s="2" t="inlineStr">
        <is>
          <t>Weeks until FPC/FNC awarded</t>
        </is>
      </c>
      <c r="B22" s="8" t="n">
        <v>10</v>
      </c>
      <c r="C22" t="inlineStr">
        <is>
          <t>Personal &amp; nursing care awarded this many weeks after entry</t>
        </is>
      </c>
    </row>
    <row r="23">
      <c r="A23" s="2" t="inlineStr">
        <is>
          <t>Care home accepts standard rate?</t>
        </is>
      </c>
      <c r="B23" s="7" t="inlineStr">
        <is>
          <t>Yes</t>
        </is>
      </c>
      <c r="C23" t="inlineStr">
        <is>
          <t>Yes = no top-up once council-funded; No = resident pays fee minus standard rate</t>
        </is>
      </c>
    </row>
    <row r="24">
      <c r="A24" s="2" t="inlineStr">
        <is>
          <t>Date enters care home</t>
        </is>
      </c>
      <c r="B24" s="9" t="n">
        <v>46296</v>
      </c>
      <c r="C24" t="inlineStr">
        <is>
          <t>Used for the date column</t>
        </is>
      </c>
    </row>
    <row r="25">
      <c r="A25" s="2" t="inlineStr">
        <is>
          <t>Weeks home value is disregarded</t>
        </is>
      </c>
      <c r="B25" s="8" t="n">
        <v>12</v>
      </c>
      <c r="C25" t="inlineStr">
        <is>
          <t>12-week property disregard (0 = count immediately)</t>
        </is>
      </c>
    </row>
    <row r="26">
      <c r="A26" s="2" t="inlineStr">
        <is>
          <t>Computed: effective standard rate</t>
        </is>
      </c>
      <c r="B26" s="5">
        <f>IF(B14="Yes",B17,B16)</f>
        <v/>
      </c>
      <c r="C26" t="inlineStr">
        <is>
          <t>Standard rate with or without nursing</t>
        </is>
      </c>
    </row>
    <row r="27">
      <c r="A27" s="2" t="inlineStr">
        <is>
          <t>Computed: top-up per week</t>
        </is>
      </c>
      <c r="B27" s="5">
        <f>IF(B23="Yes",0,B2-B26)</f>
        <v/>
      </c>
      <c r="C27" t="inlineStr">
        <is>
          <t>Fee minus standard rate (0 if home accepts standard rate)</t>
        </is>
      </c>
    </row>
    <row r="28">
      <c r="A28" s="2" t="inlineStr">
        <is>
          <t>Capital level triggering means-test review</t>
        </is>
      </c>
      <c r="B28" s="4" t="n">
        <v>60000</v>
      </c>
      <c r="C28" t="inlineStr">
        <is>
          <t>£ — council reviews finances here, ahead of taking over subsidy at the upper limit</t>
        </is>
      </c>
    </row>
    <row r="29">
      <c r="A29" s="2" t="inlineStr">
        <is>
          <t>Chart duration (years)</t>
        </is>
      </c>
      <c r="B29" s="8" t="n">
        <v>5</v>
      </c>
      <c r="C29" t="inlineStr">
        <is>
          <t>Model &amp; chart length. Change DURATION_YEARS in the script, then re-run to regenerate.</t>
        </is>
      </c>
    </row>
    <row r="30">
      <c r="A30" s="2" t="inlineStr">
        <is>
          <t>Care home billing period (weeks, paid upfront)</t>
        </is>
      </c>
      <c r="B30" s="8" t="n">
        <v>4</v>
      </c>
      <c r="C30" t="inlineStr">
        <is>
          <t>Fees billed every N weeks, paid at the start of each period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58" customWidth="1" min="1" max="1"/>
    <col width="22" customWidth="1" min="2" max="2"/>
  </cols>
  <sheetData>
    <row r="1">
      <c r="A1" s="10" t="inlineStr">
        <is>
          <t>Key milestones (live — recalculated from the Variables sheet)</t>
        </is>
      </c>
    </row>
    <row r="3">
      <c r="A3" s="2" t="inlineStr">
        <is>
          <t>Total weekly income</t>
        </is>
      </c>
      <c r="B3" s="11">
        <f>Variables!B9</f>
        <v/>
      </c>
    </row>
    <row r="4">
      <c r="A4" s="2" t="inlineStr">
        <is>
          <t>Effective council standard rate</t>
        </is>
      </c>
      <c r="B4" s="11">
        <f>Variables!B26</f>
        <v/>
      </c>
    </row>
    <row r="5">
      <c r="A5" s="2" t="inlineStr">
        <is>
          <t>Top-up per week (0 if home accepts standard rate)</t>
        </is>
      </c>
      <c r="B5" s="11">
        <f>Variables!B27</f>
        <v/>
      </c>
    </row>
    <row r="6">
      <c r="A6" s="2" t="inlineStr">
        <is>
          <t>Total wealth at start</t>
        </is>
      </c>
      <c r="B6" s="12">
        <f>Variables!B4+Variables!B5</f>
        <v/>
      </c>
    </row>
    <row r="7">
      <c r="A7" s="2" t="inlineStr"/>
    </row>
    <row r="8">
      <c r="A8" s="2" t="inlineStr">
        <is>
          <t>Week cash runs out  -&gt;  home must be sold</t>
        </is>
      </c>
      <c r="B8" s="13">
        <f>IF(COUNTIF(Data!W2:W261,TRUE)=0,"Never",MATCH(TRUE,Data!W2:W261,0))</f>
        <v/>
      </c>
    </row>
    <row r="9">
      <c r="A9" s="2" t="inlineStr">
        <is>
          <t>Week total wealth falls to £60K (means-test review)</t>
        </is>
      </c>
      <c r="B9" s="13">
        <f>MATCH(TRUE,Data!Y2:Y261,0)</f>
        <v/>
      </c>
    </row>
    <row r="10">
      <c r="A10" s="2" t="inlineStr">
        <is>
          <t>Means-test crossing date (£60K)</t>
        </is>
      </c>
      <c r="B10">
        <f>TEXT(INDEX(Data!$B$2:$B$261,MATCH(TRUE,Data!$Y$2:$Y$261,0)),"dd mmm yyyy")</f>
        <v/>
      </c>
    </row>
    <row r="11">
      <c r="A11" s="2" t="inlineStr">
        <is>
          <t>Week council takes over funding (total wealth &lt;= upper limit)</t>
        </is>
      </c>
      <c r="B11" s="13">
        <f>MATCH(TRUE,Data!Z2:Z261,0)</f>
        <v/>
      </c>
    </row>
    <row r="12">
      <c r="A12" s="2" t="inlineStr">
        <is>
          <t>Upper-threshold crossing date (£36,750)</t>
        </is>
      </c>
      <c r="B12">
        <f>TEXT(INDEX(Data!$B$2:$B$261,MATCH(TRUE,Data!$Z$2:$Z$261,0)),"dd mmm yyyy")</f>
        <v/>
      </c>
    </row>
    <row r="13">
      <c r="A13" s="2" t="inlineStr">
        <is>
          <t>Week total wealth first falls to lower limit</t>
        </is>
      </c>
      <c r="B13" s="13">
        <f>IF(COUNTIF(Data!V2:V261,TRUE)=0,"Never - capital stabilises",MATCH(TRUE,Data!V2:V261,0))</f>
        <v/>
      </c>
    </row>
    <row r="14">
      <c r="A14" s="2" t="inlineStr">
        <is>
          <t>Minimum total wealth reached</t>
        </is>
      </c>
      <c r="B14" s="12">
        <f>MIN(Data!AB2:AB261)</f>
        <v/>
      </c>
    </row>
    <row r="15">
      <c r="A15" s="2" t="inlineStr">
        <is>
          <t>Total wealth at end of 5 years</t>
        </is>
      </c>
      <c r="B15" s="12">
        <f>INDEX(Data!AB2:AB261,260)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6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2" customWidth="1" min="2" max="2"/>
    <col width="13" customWidth="1" min="3" max="3"/>
    <col width="13" customWidth="1" min="4" max="4"/>
    <col width="15" customWidth="1" min="5" max="5"/>
    <col width="15" customWidth="1" min="6" max="6"/>
    <col width="11" customWidth="1" min="7" max="7"/>
    <col width="11" customWidth="1" min="8" max="8"/>
    <col width="11" customWidth="1" min="9" max="9"/>
    <col width="12" customWidth="1" min="10" max="10"/>
    <col width="9" customWidth="1" min="11" max="11"/>
    <col width="12" customWidth="1" min="12" max="12"/>
    <col width="12" customWidth="1" min="13" max="13"/>
    <col width="11" customWidth="1" min="14" max="14"/>
    <col width="15" customWidth="1" min="15" max="15"/>
    <col width="13" customWidth="1" min="16" max="16"/>
    <col width="13" customWidth="1" min="17" max="17"/>
    <col width="30" customWidth="1" min="18" max="18"/>
    <col width="11" customWidth="1" min="19" max="19"/>
    <col width="11" customWidth="1" min="20" max="20"/>
    <col width="12" customWidth="1" min="21" max="21"/>
    <col width="12" customWidth="1" min="22" max="22"/>
    <col width="11" customWidth="1" min="23" max="23"/>
    <col width="13" customWidth="1" min="24" max="24"/>
    <col width="12" customWidth="1" min="25" max="25"/>
    <col width="12" customWidth="1" min="26" max="26"/>
    <col width="14" customWidth="1" min="27" max="27"/>
    <col width="14" customWidth="1" min="28" max="28"/>
    <col width="13" customWidth="1" min="29" max="29"/>
    <col width="16" customWidth="1" min="30" max="30"/>
    <col width="16" customWidth="1" min="31" max="31"/>
  </cols>
  <sheetData>
    <row r="1">
      <c r="A1" s="1" t="inlineStr">
        <is>
          <t>Week</t>
        </is>
      </c>
      <c r="B1" s="1" t="inlineStr">
        <is>
          <t>Date</t>
        </is>
      </c>
      <c r="C1" s="1" t="inlineStr">
        <is>
          <t>Cash - start</t>
        </is>
      </c>
      <c r="D1" s="1" t="inlineStr">
        <is>
          <t>Home - start</t>
        </is>
      </c>
      <c r="E1" s="1" t="inlineStr">
        <is>
          <t>Assessed capital - start</t>
        </is>
      </c>
      <c r="F1" s="1" t="inlineStr">
        <is>
          <t>Total wealth - start</t>
        </is>
      </c>
      <c r="G1" s="1" t="inlineStr">
        <is>
          <t>FPC this week</t>
        </is>
      </c>
      <c r="H1" s="1" t="inlineStr">
        <is>
          <t>FNC this week</t>
        </is>
      </c>
      <c r="I1" s="1" t="inlineStr">
        <is>
          <t>Tariff income</t>
        </is>
      </c>
      <c r="J1" s="1" t="inlineStr">
        <is>
          <t>Assessed contribution</t>
        </is>
      </c>
      <c r="K1" s="1" t="inlineStr">
        <is>
          <t>Top-up</t>
        </is>
      </c>
      <c r="L1" s="1" t="inlineStr">
        <is>
          <t>Council pays</t>
        </is>
      </c>
      <c r="M1" s="1" t="inlineStr">
        <is>
          <t>Resident pays</t>
        </is>
      </c>
      <c r="N1" s="1" t="inlineStr">
        <is>
          <t>Net change</t>
        </is>
      </c>
      <c r="O1" s="1" t="inlineStr">
        <is>
          <t>Total wealth - end</t>
        </is>
      </c>
      <c r="P1" s="1" t="inlineStr">
        <is>
          <t>Cash - end</t>
        </is>
      </c>
      <c r="Q1" s="1" t="inlineStr">
        <is>
          <t>Home - end</t>
        </is>
      </c>
      <c r="R1" s="1" t="inlineStr">
        <is>
          <t>Phase</t>
        </is>
      </c>
      <c r="S1" s="1" t="inlineStr">
        <is>
          <t>Upper limit</t>
        </is>
      </c>
      <c r="T1" s="1" t="inlineStr">
        <is>
          <t>Lower limit</t>
        </is>
      </c>
      <c r="U1" s="1" t="inlineStr">
        <is>
          <t>Council contributing?</t>
        </is>
      </c>
      <c r="V1" s="1" t="inlineStr">
        <is>
          <t>Below lower limit?</t>
        </is>
      </c>
      <c r="W1" s="1" t="inlineStr">
        <is>
          <t>Cash exhausted?</t>
        </is>
      </c>
      <c r="X1" s="1" t="inlineStr">
        <is>
          <t>Means-test threshold</t>
        </is>
      </c>
      <c r="Y1" s="1" t="inlineStr">
        <is>
          <t>Below means-test threshold?</t>
        </is>
      </c>
      <c r="Z1" s="1" t="inlineStr">
        <is>
          <t>Total wealth &lt;= upper limit?</t>
        </is>
      </c>
      <c r="AA1" s="1" t="inlineStr">
        <is>
          <t>Capital (assessment) - start</t>
        </is>
      </c>
      <c r="AB1" s="1" t="inlineStr">
        <is>
          <t>Capital (assessment) - end</t>
        </is>
      </c>
      <c r="AC1" s="1" t="inlineStr">
        <is>
          <t>Care home payment this week</t>
        </is>
      </c>
      <c r="AD1" s="1" t="inlineStr">
        <is>
          <t>Means-test crossing (£60K, 03 Aug 2028)</t>
        </is>
      </c>
      <c r="AE1" s="1" t="inlineStr">
        <is>
          <t>Upper crossing (£36,750, 07 Dec 2028)</t>
        </is>
      </c>
    </row>
    <row r="2">
      <c r="A2" t="n">
        <v>1</v>
      </c>
      <c r="B2" s="14">
        <f>Variables!$B$24+(A2-1)*7</f>
        <v/>
      </c>
      <c r="C2" s="12">
        <f>Variables!$B$4</f>
        <v/>
      </c>
      <c r="D2" s="12">
        <f>Variables!$B$5</f>
        <v/>
      </c>
      <c r="E2" s="12">
        <f>C2+IF(A2&gt;Variables!$B$25,D2,0)</f>
        <v/>
      </c>
      <c r="F2" s="12">
        <f>C2+D2</f>
        <v/>
      </c>
      <c r="G2" s="11">
        <f>IF(A2&gt;Variables!$B$22,Variables!$B$12,0)</f>
        <v/>
      </c>
      <c r="H2" s="11">
        <f>IF(AND(A2&gt;Variables!$B$22,Variables!$B$14="Yes"),Variables!$B$13,0)</f>
        <v/>
      </c>
      <c r="I2" s="11">
        <f>IF(AA2&gt;Variables!$B$18,0,IF(AA2&gt;Variables!$B$19,CEILING((AA2-Variables!$B$19)/Variables!$B$21,1)*Variables!$B$20,0))</f>
        <v/>
      </c>
      <c r="J2" s="11">
        <f>IF(AA2&lt;=Variables!$B$18,MIN(Variables!$B$9-Variables!$B$8+I2,Variables!$B$26),0)</f>
        <v/>
      </c>
      <c r="K2" s="11">
        <f>IF(AA2&lt;=Variables!$B$18,Variables!$B$27,0)</f>
        <v/>
      </c>
      <c r="L2" s="11">
        <f>IF(AA2&gt;Variables!$B$18,G2+H2,Variables!$B$26-J2)</f>
        <v/>
      </c>
      <c r="M2" s="11">
        <f>IF(AA2&gt;Variables!$B$18,Variables!$B$2-G2-H2,J2+K2)</f>
        <v/>
      </c>
      <c r="N2" s="11">
        <f>Variables!$B$9-AC2</f>
        <v/>
      </c>
      <c r="O2" s="12">
        <f>F2+N2</f>
        <v/>
      </c>
      <c r="P2" s="12">
        <f>MAX(0,C2+N2)</f>
        <v/>
      </c>
      <c r="Q2" s="12">
        <f>D2+MIN(0,C2+N2)</f>
        <v/>
      </c>
      <c r="R2">
        <f>IF(AA2&gt;Variables!$B$18,"Self-funder",IF(AA2&gt;Variables!$B$19,"Tariff band - council contributing","Council pays standard rate"))</f>
        <v/>
      </c>
      <c r="S2" s="12">
        <f>Variables!$B$18</f>
        <v/>
      </c>
      <c r="T2" s="12">
        <f>Variables!$B$19</f>
        <v/>
      </c>
      <c r="U2">
        <f>AA2&lt;=Variables!$B$18</f>
        <v/>
      </c>
      <c r="V2">
        <f>AA2&lt;=Variables!$B$19</f>
        <v/>
      </c>
      <c r="W2">
        <f>P2&lt;=0</f>
        <v/>
      </c>
      <c r="X2" s="12">
        <f>Variables!$B$28</f>
        <v/>
      </c>
      <c r="Y2">
        <f>AB2&lt;=Variables!$B$28</f>
        <v/>
      </c>
      <c r="Z2">
        <f>AB2&lt;=Variables!$B$18</f>
        <v/>
      </c>
      <c r="AA2" s="12">
        <f>Variables!$B$4+Variables!$B$5</f>
        <v/>
      </c>
      <c r="AB2" s="12">
        <f>AA2+Variables!$B$9-M2</f>
        <v/>
      </c>
      <c r="AC2" s="11">
        <f>IF(MOD(A2-1,Variables!$B$30)=0,Variables!$B$30*M2,0)</f>
        <v/>
      </c>
      <c r="AD2" s="12">
        <f>IF(A2=MATCH(TRUE,$Y$2:$Y$261,0),MAX($AB$2:$AB$261),IF(A2=MATCH(TRUE,$Y$2:$Y$261,0)-1,0,NA()))</f>
        <v/>
      </c>
      <c r="AE2" s="12">
        <f>IF(A2=MATCH(TRUE,$Z$2:$Z$261,0),MAX($AB$2:$AB$261),IF(A2=MATCH(TRUE,$Z$2:$Z$261,0)-1,0,NA()))</f>
        <v/>
      </c>
    </row>
    <row r="3">
      <c r="A3" t="n">
        <v>2</v>
      </c>
      <c r="B3" s="14">
        <f>Variables!$B$24+(A3-1)*7</f>
        <v/>
      </c>
      <c r="C3" s="12">
        <f>P2</f>
        <v/>
      </c>
      <c r="D3" s="12">
        <f>Q2</f>
        <v/>
      </c>
      <c r="E3" s="12">
        <f>C3+IF(A3&gt;Variables!$B$25,D3,0)</f>
        <v/>
      </c>
      <c r="F3" s="12">
        <f>C3+D3</f>
        <v/>
      </c>
      <c r="G3" s="11">
        <f>IF(A3&gt;Variables!$B$22,Variables!$B$12,0)</f>
        <v/>
      </c>
      <c r="H3" s="11">
        <f>IF(AND(A3&gt;Variables!$B$22,Variables!$B$14="Yes"),Variables!$B$13,0)</f>
        <v/>
      </c>
      <c r="I3" s="11">
        <f>IF(AA3&gt;Variables!$B$18,0,IF(AA3&gt;Variables!$B$19,CEILING((AA3-Variables!$B$19)/Variables!$B$21,1)*Variables!$B$20,0))</f>
        <v/>
      </c>
      <c r="J3" s="11">
        <f>IF(AA3&lt;=Variables!$B$18,MIN(Variables!$B$9-Variables!$B$8+I3,Variables!$B$26),0)</f>
        <v/>
      </c>
      <c r="K3" s="11">
        <f>IF(AA3&lt;=Variables!$B$18,Variables!$B$27,0)</f>
        <v/>
      </c>
      <c r="L3" s="11">
        <f>IF(AA3&gt;Variables!$B$18,G3+H3,Variables!$B$26-J3)</f>
        <v/>
      </c>
      <c r="M3" s="11">
        <f>IF(AA3&gt;Variables!$B$18,Variables!$B$2-G3-H3,J3+K3)</f>
        <v/>
      </c>
      <c r="N3" s="11">
        <f>Variables!$B$9-AC3</f>
        <v/>
      </c>
      <c r="O3" s="12">
        <f>F3+N3</f>
        <v/>
      </c>
      <c r="P3" s="12">
        <f>MAX(0,C3+N3)</f>
        <v/>
      </c>
      <c r="Q3" s="12">
        <f>D3+MIN(0,C3+N3)</f>
        <v/>
      </c>
      <c r="R3">
        <f>IF(AA3&gt;Variables!$B$18,"Self-funder",IF(AA3&gt;Variables!$B$19,"Tariff band - council contributing","Council pays standard rate"))</f>
        <v/>
      </c>
      <c r="S3" s="12">
        <f>Variables!$B$18</f>
        <v/>
      </c>
      <c r="T3" s="12">
        <f>Variables!$B$19</f>
        <v/>
      </c>
      <c r="U3">
        <f>AA3&lt;=Variables!$B$18</f>
        <v/>
      </c>
      <c r="V3">
        <f>AA3&lt;=Variables!$B$19</f>
        <v/>
      </c>
      <c r="W3">
        <f>P3&lt;=0</f>
        <v/>
      </c>
      <c r="X3" s="12">
        <f>Variables!$B$28</f>
        <v/>
      </c>
      <c r="Y3">
        <f>AB3&lt;=Variables!$B$28</f>
        <v/>
      </c>
      <c r="Z3">
        <f>AB3&lt;=Variables!$B$18</f>
        <v/>
      </c>
      <c r="AA3" s="12">
        <f>AB2</f>
        <v/>
      </c>
      <c r="AB3" s="12">
        <f>AA3+Variables!$B$9-M3</f>
        <v/>
      </c>
      <c r="AC3" s="11">
        <f>IF(MOD(A3-1,Variables!$B$30)=0,Variables!$B$30*M3,0)</f>
        <v/>
      </c>
      <c r="AD3" s="12">
        <f>IF(A3=MATCH(TRUE,$Y$2:$Y$261,0),MAX($AB$2:$AB$261),IF(A3=MATCH(TRUE,$Y$2:$Y$261,0)-1,0,NA()))</f>
        <v/>
      </c>
      <c r="AE3" s="12">
        <f>IF(A3=MATCH(TRUE,$Z$2:$Z$261,0),MAX($AB$2:$AB$261),IF(A3=MATCH(TRUE,$Z$2:$Z$261,0)-1,0,NA()))</f>
        <v/>
      </c>
    </row>
    <row r="4">
      <c r="A4" t="n">
        <v>3</v>
      </c>
      <c r="B4" s="14">
        <f>Variables!$B$24+(A4-1)*7</f>
        <v/>
      </c>
      <c r="C4" s="12">
        <f>P3</f>
        <v/>
      </c>
      <c r="D4" s="12">
        <f>Q3</f>
        <v/>
      </c>
      <c r="E4" s="12">
        <f>C4+IF(A4&gt;Variables!$B$25,D4,0)</f>
        <v/>
      </c>
      <c r="F4" s="12">
        <f>C4+D4</f>
        <v/>
      </c>
      <c r="G4" s="11">
        <f>IF(A4&gt;Variables!$B$22,Variables!$B$12,0)</f>
        <v/>
      </c>
      <c r="H4" s="11">
        <f>IF(AND(A4&gt;Variables!$B$22,Variables!$B$14="Yes"),Variables!$B$13,0)</f>
        <v/>
      </c>
      <c r="I4" s="11">
        <f>IF(AA4&gt;Variables!$B$18,0,IF(AA4&gt;Variables!$B$19,CEILING((AA4-Variables!$B$19)/Variables!$B$21,1)*Variables!$B$20,0))</f>
        <v/>
      </c>
      <c r="J4" s="11">
        <f>IF(AA4&lt;=Variables!$B$18,MIN(Variables!$B$9-Variables!$B$8+I4,Variables!$B$26),0)</f>
        <v/>
      </c>
      <c r="K4" s="11">
        <f>IF(AA4&lt;=Variables!$B$18,Variables!$B$27,0)</f>
        <v/>
      </c>
      <c r="L4" s="11">
        <f>IF(AA4&gt;Variables!$B$18,G4+H4,Variables!$B$26-J4)</f>
        <v/>
      </c>
      <c r="M4" s="11">
        <f>IF(AA4&gt;Variables!$B$18,Variables!$B$2-G4-H4,J4+K4)</f>
        <v/>
      </c>
      <c r="N4" s="11">
        <f>Variables!$B$9-AC4</f>
        <v/>
      </c>
      <c r="O4" s="12">
        <f>F4+N4</f>
        <v/>
      </c>
      <c r="P4" s="12">
        <f>MAX(0,C4+N4)</f>
        <v/>
      </c>
      <c r="Q4" s="12">
        <f>D4+MIN(0,C4+N4)</f>
        <v/>
      </c>
      <c r="R4">
        <f>IF(AA4&gt;Variables!$B$18,"Self-funder",IF(AA4&gt;Variables!$B$19,"Tariff band - council contributing","Council pays standard rate"))</f>
        <v/>
      </c>
      <c r="S4" s="12">
        <f>Variables!$B$18</f>
        <v/>
      </c>
      <c r="T4" s="12">
        <f>Variables!$B$19</f>
        <v/>
      </c>
      <c r="U4">
        <f>AA4&lt;=Variables!$B$18</f>
        <v/>
      </c>
      <c r="V4">
        <f>AA4&lt;=Variables!$B$19</f>
        <v/>
      </c>
      <c r="W4">
        <f>P4&lt;=0</f>
        <v/>
      </c>
      <c r="X4" s="12">
        <f>Variables!$B$28</f>
        <v/>
      </c>
      <c r="Y4">
        <f>AB4&lt;=Variables!$B$28</f>
        <v/>
      </c>
      <c r="Z4">
        <f>AB4&lt;=Variables!$B$18</f>
        <v/>
      </c>
      <c r="AA4" s="12">
        <f>AB3</f>
        <v/>
      </c>
      <c r="AB4" s="12">
        <f>AA4+Variables!$B$9-M4</f>
        <v/>
      </c>
      <c r="AC4" s="11">
        <f>IF(MOD(A4-1,Variables!$B$30)=0,Variables!$B$30*M4,0)</f>
        <v/>
      </c>
      <c r="AD4" s="12">
        <f>IF(A4=MATCH(TRUE,$Y$2:$Y$261,0),MAX($AB$2:$AB$261),IF(A4=MATCH(TRUE,$Y$2:$Y$261,0)-1,0,NA()))</f>
        <v/>
      </c>
      <c r="AE4" s="12">
        <f>IF(A4=MATCH(TRUE,$Z$2:$Z$261,0),MAX($AB$2:$AB$261),IF(A4=MATCH(TRUE,$Z$2:$Z$261,0)-1,0,NA()))</f>
        <v/>
      </c>
    </row>
    <row r="5">
      <c r="A5" t="n">
        <v>4</v>
      </c>
      <c r="B5" s="14">
        <f>Variables!$B$24+(A5-1)*7</f>
        <v/>
      </c>
      <c r="C5" s="12">
        <f>P4</f>
        <v/>
      </c>
      <c r="D5" s="12">
        <f>Q4</f>
        <v/>
      </c>
      <c r="E5" s="12">
        <f>C5+IF(A5&gt;Variables!$B$25,D5,0)</f>
        <v/>
      </c>
      <c r="F5" s="12">
        <f>C5+D5</f>
        <v/>
      </c>
      <c r="G5" s="11">
        <f>IF(A5&gt;Variables!$B$22,Variables!$B$12,0)</f>
        <v/>
      </c>
      <c r="H5" s="11">
        <f>IF(AND(A5&gt;Variables!$B$22,Variables!$B$14="Yes"),Variables!$B$13,0)</f>
        <v/>
      </c>
      <c r="I5" s="11">
        <f>IF(AA5&gt;Variables!$B$18,0,IF(AA5&gt;Variables!$B$19,CEILING((AA5-Variables!$B$19)/Variables!$B$21,1)*Variables!$B$20,0))</f>
        <v/>
      </c>
      <c r="J5" s="11">
        <f>IF(AA5&lt;=Variables!$B$18,MIN(Variables!$B$9-Variables!$B$8+I5,Variables!$B$26),0)</f>
        <v/>
      </c>
      <c r="K5" s="11">
        <f>IF(AA5&lt;=Variables!$B$18,Variables!$B$27,0)</f>
        <v/>
      </c>
      <c r="L5" s="11">
        <f>IF(AA5&gt;Variables!$B$18,G5+H5,Variables!$B$26-J5)</f>
        <v/>
      </c>
      <c r="M5" s="11">
        <f>IF(AA5&gt;Variables!$B$18,Variables!$B$2-G5-H5,J5+K5)</f>
        <v/>
      </c>
      <c r="N5" s="11">
        <f>Variables!$B$9-AC5</f>
        <v/>
      </c>
      <c r="O5" s="12">
        <f>F5+N5</f>
        <v/>
      </c>
      <c r="P5" s="12">
        <f>MAX(0,C5+N5)</f>
        <v/>
      </c>
      <c r="Q5" s="12">
        <f>D5+MIN(0,C5+N5)</f>
        <v/>
      </c>
      <c r="R5">
        <f>IF(AA5&gt;Variables!$B$18,"Self-funder",IF(AA5&gt;Variables!$B$19,"Tariff band - council contributing","Council pays standard rate"))</f>
        <v/>
      </c>
      <c r="S5" s="12">
        <f>Variables!$B$18</f>
        <v/>
      </c>
      <c r="T5" s="12">
        <f>Variables!$B$19</f>
        <v/>
      </c>
      <c r="U5">
        <f>AA5&lt;=Variables!$B$18</f>
        <v/>
      </c>
      <c r="V5">
        <f>AA5&lt;=Variables!$B$19</f>
        <v/>
      </c>
      <c r="W5">
        <f>P5&lt;=0</f>
        <v/>
      </c>
      <c r="X5" s="12">
        <f>Variables!$B$28</f>
        <v/>
      </c>
      <c r="Y5">
        <f>AB5&lt;=Variables!$B$28</f>
        <v/>
      </c>
      <c r="Z5">
        <f>AB5&lt;=Variables!$B$18</f>
        <v/>
      </c>
      <c r="AA5" s="12">
        <f>AB4</f>
        <v/>
      </c>
      <c r="AB5" s="12">
        <f>AA5+Variables!$B$9-M5</f>
        <v/>
      </c>
      <c r="AC5" s="11">
        <f>IF(MOD(A5-1,Variables!$B$30)=0,Variables!$B$30*M5,0)</f>
        <v/>
      </c>
      <c r="AD5" s="12">
        <f>IF(A5=MATCH(TRUE,$Y$2:$Y$261,0),MAX($AB$2:$AB$261),IF(A5=MATCH(TRUE,$Y$2:$Y$261,0)-1,0,NA()))</f>
        <v/>
      </c>
      <c r="AE5" s="12">
        <f>IF(A5=MATCH(TRUE,$Z$2:$Z$261,0),MAX($AB$2:$AB$261),IF(A5=MATCH(TRUE,$Z$2:$Z$261,0)-1,0,NA()))</f>
        <v/>
      </c>
    </row>
    <row r="6">
      <c r="A6" t="n">
        <v>5</v>
      </c>
      <c r="B6" s="14">
        <f>Variables!$B$24+(A6-1)*7</f>
        <v/>
      </c>
      <c r="C6" s="12">
        <f>P5</f>
        <v/>
      </c>
      <c r="D6" s="12">
        <f>Q5</f>
        <v/>
      </c>
      <c r="E6" s="12">
        <f>C6+IF(A6&gt;Variables!$B$25,D6,0)</f>
        <v/>
      </c>
      <c r="F6" s="12">
        <f>C6+D6</f>
        <v/>
      </c>
      <c r="G6" s="11">
        <f>IF(A6&gt;Variables!$B$22,Variables!$B$12,0)</f>
        <v/>
      </c>
      <c r="H6" s="11">
        <f>IF(AND(A6&gt;Variables!$B$22,Variables!$B$14="Yes"),Variables!$B$13,0)</f>
        <v/>
      </c>
      <c r="I6" s="11">
        <f>IF(AA6&gt;Variables!$B$18,0,IF(AA6&gt;Variables!$B$19,CEILING((AA6-Variables!$B$19)/Variables!$B$21,1)*Variables!$B$20,0))</f>
        <v/>
      </c>
      <c r="J6" s="11">
        <f>IF(AA6&lt;=Variables!$B$18,MIN(Variables!$B$9-Variables!$B$8+I6,Variables!$B$26),0)</f>
        <v/>
      </c>
      <c r="K6" s="11">
        <f>IF(AA6&lt;=Variables!$B$18,Variables!$B$27,0)</f>
        <v/>
      </c>
      <c r="L6" s="11">
        <f>IF(AA6&gt;Variables!$B$18,G6+H6,Variables!$B$26-J6)</f>
        <v/>
      </c>
      <c r="M6" s="11">
        <f>IF(AA6&gt;Variables!$B$18,Variables!$B$2-G6-H6,J6+K6)</f>
        <v/>
      </c>
      <c r="N6" s="11">
        <f>Variables!$B$9-AC6</f>
        <v/>
      </c>
      <c r="O6" s="12">
        <f>F6+N6</f>
        <v/>
      </c>
      <c r="P6" s="12">
        <f>MAX(0,C6+N6)</f>
        <v/>
      </c>
      <c r="Q6" s="12">
        <f>D6+MIN(0,C6+N6)</f>
        <v/>
      </c>
      <c r="R6">
        <f>IF(AA6&gt;Variables!$B$18,"Self-funder",IF(AA6&gt;Variables!$B$19,"Tariff band - council contributing","Council pays standard rate"))</f>
        <v/>
      </c>
      <c r="S6" s="12">
        <f>Variables!$B$18</f>
        <v/>
      </c>
      <c r="T6" s="12">
        <f>Variables!$B$19</f>
        <v/>
      </c>
      <c r="U6">
        <f>AA6&lt;=Variables!$B$18</f>
        <v/>
      </c>
      <c r="V6">
        <f>AA6&lt;=Variables!$B$19</f>
        <v/>
      </c>
      <c r="W6">
        <f>P6&lt;=0</f>
        <v/>
      </c>
      <c r="X6" s="12">
        <f>Variables!$B$28</f>
        <v/>
      </c>
      <c r="Y6">
        <f>AB6&lt;=Variables!$B$28</f>
        <v/>
      </c>
      <c r="Z6">
        <f>AB6&lt;=Variables!$B$18</f>
        <v/>
      </c>
      <c r="AA6" s="12">
        <f>AB5</f>
        <v/>
      </c>
      <c r="AB6" s="12">
        <f>AA6+Variables!$B$9-M6</f>
        <v/>
      </c>
      <c r="AC6" s="11">
        <f>IF(MOD(A6-1,Variables!$B$30)=0,Variables!$B$30*M6,0)</f>
        <v/>
      </c>
      <c r="AD6" s="12">
        <f>IF(A6=MATCH(TRUE,$Y$2:$Y$261,0),MAX($AB$2:$AB$261),IF(A6=MATCH(TRUE,$Y$2:$Y$261,0)-1,0,NA()))</f>
        <v/>
      </c>
      <c r="AE6" s="12">
        <f>IF(A6=MATCH(TRUE,$Z$2:$Z$261,0),MAX($AB$2:$AB$261),IF(A6=MATCH(TRUE,$Z$2:$Z$261,0)-1,0,NA()))</f>
        <v/>
      </c>
    </row>
    <row r="7">
      <c r="A7" t="n">
        <v>6</v>
      </c>
      <c r="B7" s="14">
        <f>Variables!$B$24+(A7-1)*7</f>
        <v/>
      </c>
      <c r="C7" s="12">
        <f>P6</f>
        <v/>
      </c>
      <c r="D7" s="12">
        <f>Q6</f>
        <v/>
      </c>
      <c r="E7" s="12">
        <f>C7+IF(A7&gt;Variables!$B$25,D7,0)</f>
        <v/>
      </c>
      <c r="F7" s="12">
        <f>C7+D7</f>
        <v/>
      </c>
      <c r="G7" s="11">
        <f>IF(A7&gt;Variables!$B$22,Variables!$B$12,0)</f>
        <v/>
      </c>
      <c r="H7" s="11">
        <f>IF(AND(A7&gt;Variables!$B$22,Variables!$B$14="Yes"),Variables!$B$13,0)</f>
        <v/>
      </c>
      <c r="I7" s="11">
        <f>IF(AA7&gt;Variables!$B$18,0,IF(AA7&gt;Variables!$B$19,CEILING((AA7-Variables!$B$19)/Variables!$B$21,1)*Variables!$B$20,0))</f>
        <v/>
      </c>
      <c r="J7" s="11">
        <f>IF(AA7&lt;=Variables!$B$18,MIN(Variables!$B$9-Variables!$B$8+I7,Variables!$B$26),0)</f>
        <v/>
      </c>
      <c r="K7" s="11">
        <f>IF(AA7&lt;=Variables!$B$18,Variables!$B$27,0)</f>
        <v/>
      </c>
      <c r="L7" s="11">
        <f>IF(AA7&gt;Variables!$B$18,G7+H7,Variables!$B$26-J7)</f>
        <v/>
      </c>
      <c r="M7" s="11">
        <f>IF(AA7&gt;Variables!$B$18,Variables!$B$2-G7-H7,J7+K7)</f>
        <v/>
      </c>
      <c r="N7" s="11">
        <f>Variables!$B$9-AC7</f>
        <v/>
      </c>
      <c r="O7" s="12">
        <f>F7+N7</f>
        <v/>
      </c>
      <c r="P7" s="12">
        <f>MAX(0,C7+N7)</f>
        <v/>
      </c>
      <c r="Q7" s="12">
        <f>D7+MIN(0,C7+N7)</f>
        <v/>
      </c>
      <c r="R7">
        <f>IF(AA7&gt;Variables!$B$18,"Self-funder",IF(AA7&gt;Variables!$B$19,"Tariff band - council contributing","Council pays standard rate"))</f>
        <v/>
      </c>
      <c r="S7" s="12">
        <f>Variables!$B$18</f>
        <v/>
      </c>
      <c r="T7" s="12">
        <f>Variables!$B$19</f>
        <v/>
      </c>
      <c r="U7">
        <f>AA7&lt;=Variables!$B$18</f>
        <v/>
      </c>
      <c r="V7">
        <f>AA7&lt;=Variables!$B$19</f>
        <v/>
      </c>
      <c r="W7">
        <f>P7&lt;=0</f>
        <v/>
      </c>
      <c r="X7" s="12">
        <f>Variables!$B$28</f>
        <v/>
      </c>
      <c r="Y7">
        <f>AB7&lt;=Variables!$B$28</f>
        <v/>
      </c>
      <c r="Z7">
        <f>AB7&lt;=Variables!$B$18</f>
        <v/>
      </c>
      <c r="AA7" s="12">
        <f>AB6</f>
        <v/>
      </c>
      <c r="AB7" s="12">
        <f>AA7+Variables!$B$9-M7</f>
        <v/>
      </c>
      <c r="AC7" s="11">
        <f>IF(MOD(A7-1,Variables!$B$30)=0,Variables!$B$30*M7,0)</f>
        <v/>
      </c>
      <c r="AD7" s="12">
        <f>IF(A7=MATCH(TRUE,$Y$2:$Y$261,0),MAX($AB$2:$AB$261),IF(A7=MATCH(TRUE,$Y$2:$Y$261,0)-1,0,NA()))</f>
        <v/>
      </c>
      <c r="AE7" s="12">
        <f>IF(A7=MATCH(TRUE,$Z$2:$Z$261,0),MAX($AB$2:$AB$261),IF(A7=MATCH(TRUE,$Z$2:$Z$261,0)-1,0,NA()))</f>
        <v/>
      </c>
    </row>
    <row r="8">
      <c r="A8" t="n">
        <v>7</v>
      </c>
      <c r="B8" s="14">
        <f>Variables!$B$24+(A8-1)*7</f>
        <v/>
      </c>
      <c r="C8" s="12">
        <f>P7</f>
        <v/>
      </c>
      <c r="D8" s="12">
        <f>Q7</f>
        <v/>
      </c>
      <c r="E8" s="12">
        <f>C8+IF(A8&gt;Variables!$B$25,D8,0)</f>
        <v/>
      </c>
      <c r="F8" s="12">
        <f>C8+D8</f>
        <v/>
      </c>
      <c r="G8" s="11">
        <f>IF(A8&gt;Variables!$B$22,Variables!$B$12,0)</f>
        <v/>
      </c>
      <c r="H8" s="11">
        <f>IF(AND(A8&gt;Variables!$B$22,Variables!$B$14="Yes"),Variables!$B$13,0)</f>
        <v/>
      </c>
      <c r="I8" s="11">
        <f>IF(AA8&gt;Variables!$B$18,0,IF(AA8&gt;Variables!$B$19,CEILING((AA8-Variables!$B$19)/Variables!$B$21,1)*Variables!$B$20,0))</f>
        <v/>
      </c>
      <c r="J8" s="11">
        <f>IF(AA8&lt;=Variables!$B$18,MIN(Variables!$B$9-Variables!$B$8+I8,Variables!$B$26),0)</f>
        <v/>
      </c>
      <c r="K8" s="11">
        <f>IF(AA8&lt;=Variables!$B$18,Variables!$B$27,0)</f>
        <v/>
      </c>
      <c r="L8" s="11">
        <f>IF(AA8&gt;Variables!$B$18,G8+H8,Variables!$B$26-J8)</f>
        <v/>
      </c>
      <c r="M8" s="11">
        <f>IF(AA8&gt;Variables!$B$18,Variables!$B$2-G8-H8,J8+K8)</f>
        <v/>
      </c>
      <c r="N8" s="11">
        <f>Variables!$B$9-AC8</f>
        <v/>
      </c>
      <c r="O8" s="12">
        <f>F8+N8</f>
        <v/>
      </c>
      <c r="P8" s="12">
        <f>MAX(0,C8+N8)</f>
        <v/>
      </c>
      <c r="Q8" s="12">
        <f>D8+MIN(0,C8+N8)</f>
        <v/>
      </c>
      <c r="R8">
        <f>IF(AA8&gt;Variables!$B$18,"Self-funder",IF(AA8&gt;Variables!$B$19,"Tariff band - council contributing","Council pays standard rate"))</f>
        <v/>
      </c>
      <c r="S8" s="12">
        <f>Variables!$B$18</f>
        <v/>
      </c>
      <c r="T8" s="12">
        <f>Variables!$B$19</f>
        <v/>
      </c>
      <c r="U8">
        <f>AA8&lt;=Variables!$B$18</f>
        <v/>
      </c>
      <c r="V8">
        <f>AA8&lt;=Variables!$B$19</f>
        <v/>
      </c>
      <c r="W8">
        <f>P8&lt;=0</f>
        <v/>
      </c>
      <c r="X8" s="12">
        <f>Variables!$B$28</f>
        <v/>
      </c>
      <c r="Y8">
        <f>AB8&lt;=Variables!$B$28</f>
        <v/>
      </c>
      <c r="Z8">
        <f>AB8&lt;=Variables!$B$18</f>
        <v/>
      </c>
      <c r="AA8" s="12">
        <f>AB7</f>
        <v/>
      </c>
      <c r="AB8" s="12">
        <f>AA8+Variables!$B$9-M8</f>
        <v/>
      </c>
      <c r="AC8" s="11">
        <f>IF(MOD(A8-1,Variables!$B$30)=0,Variables!$B$30*M8,0)</f>
        <v/>
      </c>
      <c r="AD8" s="12">
        <f>IF(A8=MATCH(TRUE,$Y$2:$Y$261,0),MAX($AB$2:$AB$261),IF(A8=MATCH(TRUE,$Y$2:$Y$261,0)-1,0,NA()))</f>
        <v/>
      </c>
      <c r="AE8" s="12">
        <f>IF(A8=MATCH(TRUE,$Z$2:$Z$261,0),MAX($AB$2:$AB$261),IF(A8=MATCH(TRUE,$Z$2:$Z$261,0)-1,0,NA()))</f>
        <v/>
      </c>
    </row>
    <row r="9">
      <c r="A9" t="n">
        <v>8</v>
      </c>
      <c r="B9" s="14">
        <f>Variables!$B$24+(A9-1)*7</f>
        <v/>
      </c>
      <c r="C9" s="12">
        <f>P8</f>
        <v/>
      </c>
      <c r="D9" s="12">
        <f>Q8</f>
        <v/>
      </c>
      <c r="E9" s="12">
        <f>C9+IF(A9&gt;Variables!$B$25,D9,0)</f>
        <v/>
      </c>
      <c r="F9" s="12">
        <f>C9+D9</f>
        <v/>
      </c>
      <c r="G9" s="11">
        <f>IF(A9&gt;Variables!$B$22,Variables!$B$12,0)</f>
        <v/>
      </c>
      <c r="H9" s="11">
        <f>IF(AND(A9&gt;Variables!$B$22,Variables!$B$14="Yes"),Variables!$B$13,0)</f>
        <v/>
      </c>
      <c r="I9" s="11">
        <f>IF(AA9&gt;Variables!$B$18,0,IF(AA9&gt;Variables!$B$19,CEILING((AA9-Variables!$B$19)/Variables!$B$21,1)*Variables!$B$20,0))</f>
        <v/>
      </c>
      <c r="J9" s="11">
        <f>IF(AA9&lt;=Variables!$B$18,MIN(Variables!$B$9-Variables!$B$8+I9,Variables!$B$26),0)</f>
        <v/>
      </c>
      <c r="K9" s="11">
        <f>IF(AA9&lt;=Variables!$B$18,Variables!$B$27,0)</f>
        <v/>
      </c>
      <c r="L9" s="11">
        <f>IF(AA9&gt;Variables!$B$18,G9+H9,Variables!$B$26-J9)</f>
        <v/>
      </c>
      <c r="M9" s="11">
        <f>IF(AA9&gt;Variables!$B$18,Variables!$B$2-G9-H9,J9+K9)</f>
        <v/>
      </c>
      <c r="N9" s="11">
        <f>Variables!$B$9-AC9</f>
        <v/>
      </c>
      <c r="O9" s="12">
        <f>F9+N9</f>
        <v/>
      </c>
      <c r="P9" s="12">
        <f>MAX(0,C9+N9)</f>
        <v/>
      </c>
      <c r="Q9" s="12">
        <f>D9+MIN(0,C9+N9)</f>
        <v/>
      </c>
      <c r="R9">
        <f>IF(AA9&gt;Variables!$B$18,"Self-funder",IF(AA9&gt;Variables!$B$19,"Tariff band - council contributing","Council pays standard rate"))</f>
        <v/>
      </c>
      <c r="S9" s="12">
        <f>Variables!$B$18</f>
        <v/>
      </c>
      <c r="T9" s="12">
        <f>Variables!$B$19</f>
        <v/>
      </c>
      <c r="U9">
        <f>AA9&lt;=Variables!$B$18</f>
        <v/>
      </c>
      <c r="V9">
        <f>AA9&lt;=Variables!$B$19</f>
        <v/>
      </c>
      <c r="W9">
        <f>P9&lt;=0</f>
        <v/>
      </c>
      <c r="X9" s="12">
        <f>Variables!$B$28</f>
        <v/>
      </c>
      <c r="Y9">
        <f>AB9&lt;=Variables!$B$28</f>
        <v/>
      </c>
      <c r="Z9">
        <f>AB9&lt;=Variables!$B$18</f>
        <v/>
      </c>
      <c r="AA9" s="12">
        <f>AB8</f>
        <v/>
      </c>
      <c r="AB9" s="12">
        <f>AA9+Variables!$B$9-M9</f>
        <v/>
      </c>
      <c r="AC9" s="11">
        <f>IF(MOD(A9-1,Variables!$B$30)=0,Variables!$B$30*M9,0)</f>
        <v/>
      </c>
      <c r="AD9" s="12">
        <f>IF(A9=MATCH(TRUE,$Y$2:$Y$261,0),MAX($AB$2:$AB$261),IF(A9=MATCH(TRUE,$Y$2:$Y$261,0)-1,0,NA()))</f>
        <v/>
      </c>
      <c r="AE9" s="12">
        <f>IF(A9=MATCH(TRUE,$Z$2:$Z$261,0),MAX($AB$2:$AB$261),IF(A9=MATCH(TRUE,$Z$2:$Z$261,0)-1,0,NA()))</f>
        <v/>
      </c>
    </row>
    <row r="10">
      <c r="A10" t="n">
        <v>9</v>
      </c>
      <c r="B10" s="14">
        <f>Variables!$B$24+(A10-1)*7</f>
        <v/>
      </c>
      <c r="C10" s="12">
        <f>P9</f>
        <v/>
      </c>
      <c r="D10" s="12">
        <f>Q9</f>
        <v/>
      </c>
      <c r="E10" s="12">
        <f>C10+IF(A10&gt;Variables!$B$25,D10,0)</f>
        <v/>
      </c>
      <c r="F10" s="12">
        <f>C10+D10</f>
        <v/>
      </c>
      <c r="G10" s="11">
        <f>IF(A10&gt;Variables!$B$22,Variables!$B$12,0)</f>
        <v/>
      </c>
      <c r="H10" s="11">
        <f>IF(AND(A10&gt;Variables!$B$22,Variables!$B$14="Yes"),Variables!$B$13,0)</f>
        <v/>
      </c>
      <c r="I10" s="11">
        <f>IF(AA10&gt;Variables!$B$18,0,IF(AA10&gt;Variables!$B$19,CEILING((AA10-Variables!$B$19)/Variables!$B$21,1)*Variables!$B$20,0))</f>
        <v/>
      </c>
      <c r="J10" s="11">
        <f>IF(AA10&lt;=Variables!$B$18,MIN(Variables!$B$9-Variables!$B$8+I10,Variables!$B$26),0)</f>
        <v/>
      </c>
      <c r="K10" s="11">
        <f>IF(AA10&lt;=Variables!$B$18,Variables!$B$27,0)</f>
        <v/>
      </c>
      <c r="L10" s="11">
        <f>IF(AA10&gt;Variables!$B$18,G10+H10,Variables!$B$26-J10)</f>
        <v/>
      </c>
      <c r="M10" s="11">
        <f>IF(AA10&gt;Variables!$B$18,Variables!$B$2-G10-H10,J10+K10)</f>
        <v/>
      </c>
      <c r="N10" s="11">
        <f>Variables!$B$9-AC10</f>
        <v/>
      </c>
      <c r="O10" s="12">
        <f>F10+N10</f>
        <v/>
      </c>
      <c r="P10" s="12">
        <f>MAX(0,C10+N10)</f>
        <v/>
      </c>
      <c r="Q10" s="12">
        <f>D10+MIN(0,C10+N10)</f>
        <v/>
      </c>
      <c r="R10">
        <f>IF(AA10&gt;Variables!$B$18,"Self-funder",IF(AA10&gt;Variables!$B$19,"Tariff band - council contributing","Council pays standard rate"))</f>
        <v/>
      </c>
      <c r="S10" s="12">
        <f>Variables!$B$18</f>
        <v/>
      </c>
      <c r="T10" s="12">
        <f>Variables!$B$19</f>
        <v/>
      </c>
      <c r="U10">
        <f>AA10&lt;=Variables!$B$18</f>
        <v/>
      </c>
      <c r="V10">
        <f>AA10&lt;=Variables!$B$19</f>
        <v/>
      </c>
      <c r="W10">
        <f>P10&lt;=0</f>
        <v/>
      </c>
      <c r="X10" s="12">
        <f>Variables!$B$28</f>
        <v/>
      </c>
      <c r="Y10">
        <f>AB10&lt;=Variables!$B$28</f>
        <v/>
      </c>
      <c r="Z10">
        <f>AB10&lt;=Variables!$B$18</f>
        <v/>
      </c>
      <c r="AA10" s="12">
        <f>AB9</f>
        <v/>
      </c>
      <c r="AB10" s="12">
        <f>AA10+Variables!$B$9-M10</f>
        <v/>
      </c>
      <c r="AC10" s="11">
        <f>IF(MOD(A10-1,Variables!$B$30)=0,Variables!$B$30*M10,0)</f>
        <v/>
      </c>
      <c r="AD10" s="12">
        <f>IF(A10=MATCH(TRUE,$Y$2:$Y$261,0),MAX($AB$2:$AB$261),IF(A10=MATCH(TRUE,$Y$2:$Y$261,0)-1,0,NA()))</f>
        <v/>
      </c>
      <c r="AE10" s="12">
        <f>IF(A10=MATCH(TRUE,$Z$2:$Z$261,0),MAX($AB$2:$AB$261),IF(A10=MATCH(TRUE,$Z$2:$Z$261,0)-1,0,NA()))</f>
        <v/>
      </c>
    </row>
    <row r="11">
      <c r="A11" t="n">
        <v>10</v>
      </c>
      <c r="B11" s="14">
        <f>Variables!$B$24+(A11-1)*7</f>
        <v/>
      </c>
      <c r="C11" s="12">
        <f>P10</f>
        <v/>
      </c>
      <c r="D11" s="12">
        <f>Q10</f>
        <v/>
      </c>
      <c r="E11" s="12">
        <f>C11+IF(A11&gt;Variables!$B$25,D11,0)</f>
        <v/>
      </c>
      <c r="F11" s="12">
        <f>C11+D11</f>
        <v/>
      </c>
      <c r="G11" s="11">
        <f>IF(A11&gt;Variables!$B$22,Variables!$B$12,0)</f>
        <v/>
      </c>
      <c r="H11" s="11">
        <f>IF(AND(A11&gt;Variables!$B$22,Variables!$B$14="Yes"),Variables!$B$13,0)</f>
        <v/>
      </c>
      <c r="I11" s="11">
        <f>IF(AA11&gt;Variables!$B$18,0,IF(AA11&gt;Variables!$B$19,CEILING((AA11-Variables!$B$19)/Variables!$B$21,1)*Variables!$B$20,0))</f>
        <v/>
      </c>
      <c r="J11" s="11">
        <f>IF(AA11&lt;=Variables!$B$18,MIN(Variables!$B$9-Variables!$B$8+I11,Variables!$B$26),0)</f>
        <v/>
      </c>
      <c r="K11" s="11">
        <f>IF(AA11&lt;=Variables!$B$18,Variables!$B$27,0)</f>
        <v/>
      </c>
      <c r="L11" s="11">
        <f>IF(AA11&gt;Variables!$B$18,G11+H11,Variables!$B$26-J11)</f>
        <v/>
      </c>
      <c r="M11" s="11">
        <f>IF(AA11&gt;Variables!$B$18,Variables!$B$2-G11-H11,J11+K11)</f>
        <v/>
      </c>
      <c r="N11" s="11">
        <f>Variables!$B$9-AC11</f>
        <v/>
      </c>
      <c r="O11" s="12">
        <f>F11+N11</f>
        <v/>
      </c>
      <c r="P11" s="12">
        <f>MAX(0,C11+N11)</f>
        <v/>
      </c>
      <c r="Q11" s="12">
        <f>D11+MIN(0,C11+N11)</f>
        <v/>
      </c>
      <c r="R11">
        <f>IF(AA11&gt;Variables!$B$18,"Self-funder",IF(AA11&gt;Variables!$B$19,"Tariff band - council contributing","Council pays standard rate"))</f>
        <v/>
      </c>
      <c r="S11" s="12">
        <f>Variables!$B$18</f>
        <v/>
      </c>
      <c r="T11" s="12">
        <f>Variables!$B$19</f>
        <v/>
      </c>
      <c r="U11">
        <f>AA11&lt;=Variables!$B$18</f>
        <v/>
      </c>
      <c r="V11">
        <f>AA11&lt;=Variables!$B$19</f>
        <v/>
      </c>
      <c r="W11">
        <f>P11&lt;=0</f>
        <v/>
      </c>
      <c r="X11" s="12">
        <f>Variables!$B$28</f>
        <v/>
      </c>
      <c r="Y11">
        <f>AB11&lt;=Variables!$B$28</f>
        <v/>
      </c>
      <c r="Z11">
        <f>AB11&lt;=Variables!$B$18</f>
        <v/>
      </c>
      <c r="AA11" s="12">
        <f>AB10</f>
        <v/>
      </c>
      <c r="AB11" s="12">
        <f>AA11+Variables!$B$9-M11</f>
        <v/>
      </c>
      <c r="AC11" s="11">
        <f>IF(MOD(A11-1,Variables!$B$30)=0,Variables!$B$30*M11,0)</f>
        <v/>
      </c>
      <c r="AD11" s="12">
        <f>IF(A11=MATCH(TRUE,$Y$2:$Y$261,0),MAX($AB$2:$AB$261),IF(A11=MATCH(TRUE,$Y$2:$Y$261,0)-1,0,NA()))</f>
        <v/>
      </c>
      <c r="AE11" s="12">
        <f>IF(A11=MATCH(TRUE,$Z$2:$Z$261,0),MAX($AB$2:$AB$261),IF(A11=MATCH(TRUE,$Z$2:$Z$261,0)-1,0,NA()))</f>
        <v/>
      </c>
    </row>
    <row r="12">
      <c r="A12" t="n">
        <v>11</v>
      </c>
      <c r="B12" s="14">
        <f>Variables!$B$24+(A12-1)*7</f>
        <v/>
      </c>
      <c r="C12" s="12">
        <f>P11</f>
        <v/>
      </c>
      <c r="D12" s="12">
        <f>Q11</f>
        <v/>
      </c>
      <c r="E12" s="12">
        <f>C12+IF(A12&gt;Variables!$B$25,D12,0)</f>
        <v/>
      </c>
      <c r="F12" s="12">
        <f>C12+D12</f>
        <v/>
      </c>
      <c r="G12" s="11">
        <f>IF(A12&gt;Variables!$B$22,Variables!$B$12,0)</f>
        <v/>
      </c>
      <c r="H12" s="11">
        <f>IF(AND(A12&gt;Variables!$B$22,Variables!$B$14="Yes"),Variables!$B$13,0)</f>
        <v/>
      </c>
      <c r="I12" s="11">
        <f>IF(AA12&gt;Variables!$B$18,0,IF(AA12&gt;Variables!$B$19,CEILING((AA12-Variables!$B$19)/Variables!$B$21,1)*Variables!$B$20,0))</f>
        <v/>
      </c>
      <c r="J12" s="11">
        <f>IF(AA12&lt;=Variables!$B$18,MIN(Variables!$B$9-Variables!$B$8+I12,Variables!$B$26),0)</f>
        <v/>
      </c>
      <c r="K12" s="11">
        <f>IF(AA12&lt;=Variables!$B$18,Variables!$B$27,0)</f>
        <v/>
      </c>
      <c r="L12" s="11">
        <f>IF(AA12&gt;Variables!$B$18,G12+H12,Variables!$B$26-J12)</f>
        <v/>
      </c>
      <c r="M12" s="11">
        <f>IF(AA12&gt;Variables!$B$18,Variables!$B$2-G12-H12,J12+K12)</f>
        <v/>
      </c>
      <c r="N12" s="11">
        <f>Variables!$B$9-AC12</f>
        <v/>
      </c>
      <c r="O12" s="12">
        <f>F12+N12</f>
        <v/>
      </c>
      <c r="P12" s="12">
        <f>MAX(0,C12+N12)</f>
        <v/>
      </c>
      <c r="Q12" s="12">
        <f>D12+MIN(0,C12+N12)</f>
        <v/>
      </c>
      <c r="R12">
        <f>IF(AA12&gt;Variables!$B$18,"Self-funder",IF(AA12&gt;Variables!$B$19,"Tariff band - council contributing","Council pays standard rate"))</f>
        <v/>
      </c>
      <c r="S12" s="12">
        <f>Variables!$B$18</f>
        <v/>
      </c>
      <c r="T12" s="12">
        <f>Variables!$B$19</f>
        <v/>
      </c>
      <c r="U12">
        <f>AA12&lt;=Variables!$B$18</f>
        <v/>
      </c>
      <c r="V12">
        <f>AA12&lt;=Variables!$B$19</f>
        <v/>
      </c>
      <c r="W12">
        <f>P12&lt;=0</f>
        <v/>
      </c>
      <c r="X12" s="12">
        <f>Variables!$B$28</f>
        <v/>
      </c>
      <c r="Y12">
        <f>AB12&lt;=Variables!$B$28</f>
        <v/>
      </c>
      <c r="Z12">
        <f>AB12&lt;=Variables!$B$18</f>
        <v/>
      </c>
      <c r="AA12" s="12">
        <f>AB11</f>
        <v/>
      </c>
      <c r="AB12" s="12">
        <f>AA12+Variables!$B$9-M12</f>
        <v/>
      </c>
      <c r="AC12" s="11">
        <f>IF(MOD(A12-1,Variables!$B$30)=0,Variables!$B$30*M12,0)</f>
        <v/>
      </c>
      <c r="AD12" s="12">
        <f>IF(A12=MATCH(TRUE,$Y$2:$Y$261,0),MAX($AB$2:$AB$261),IF(A12=MATCH(TRUE,$Y$2:$Y$261,0)-1,0,NA()))</f>
        <v/>
      </c>
      <c r="AE12" s="12">
        <f>IF(A12=MATCH(TRUE,$Z$2:$Z$261,0),MAX($AB$2:$AB$261),IF(A12=MATCH(TRUE,$Z$2:$Z$261,0)-1,0,NA()))</f>
        <v/>
      </c>
    </row>
    <row r="13">
      <c r="A13" t="n">
        <v>12</v>
      </c>
      <c r="B13" s="14">
        <f>Variables!$B$24+(A13-1)*7</f>
        <v/>
      </c>
      <c r="C13" s="12">
        <f>P12</f>
        <v/>
      </c>
      <c r="D13" s="12">
        <f>Q12</f>
        <v/>
      </c>
      <c r="E13" s="12">
        <f>C13+IF(A13&gt;Variables!$B$25,D13,0)</f>
        <v/>
      </c>
      <c r="F13" s="12">
        <f>C13+D13</f>
        <v/>
      </c>
      <c r="G13" s="11">
        <f>IF(A13&gt;Variables!$B$22,Variables!$B$12,0)</f>
        <v/>
      </c>
      <c r="H13" s="11">
        <f>IF(AND(A13&gt;Variables!$B$22,Variables!$B$14="Yes"),Variables!$B$13,0)</f>
        <v/>
      </c>
      <c r="I13" s="11">
        <f>IF(AA13&gt;Variables!$B$18,0,IF(AA13&gt;Variables!$B$19,CEILING((AA13-Variables!$B$19)/Variables!$B$21,1)*Variables!$B$20,0))</f>
        <v/>
      </c>
      <c r="J13" s="11">
        <f>IF(AA13&lt;=Variables!$B$18,MIN(Variables!$B$9-Variables!$B$8+I13,Variables!$B$26),0)</f>
        <v/>
      </c>
      <c r="K13" s="11">
        <f>IF(AA13&lt;=Variables!$B$18,Variables!$B$27,0)</f>
        <v/>
      </c>
      <c r="L13" s="11">
        <f>IF(AA13&gt;Variables!$B$18,G13+H13,Variables!$B$26-J13)</f>
        <v/>
      </c>
      <c r="M13" s="11">
        <f>IF(AA13&gt;Variables!$B$18,Variables!$B$2-G13-H13,J13+K13)</f>
        <v/>
      </c>
      <c r="N13" s="11">
        <f>Variables!$B$9-AC13</f>
        <v/>
      </c>
      <c r="O13" s="12">
        <f>F13+N13</f>
        <v/>
      </c>
      <c r="P13" s="12">
        <f>MAX(0,C13+N13)</f>
        <v/>
      </c>
      <c r="Q13" s="12">
        <f>D13+MIN(0,C13+N13)</f>
        <v/>
      </c>
      <c r="R13">
        <f>IF(AA13&gt;Variables!$B$18,"Self-funder",IF(AA13&gt;Variables!$B$19,"Tariff band - council contributing","Council pays standard rate"))</f>
        <v/>
      </c>
      <c r="S13" s="12">
        <f>Variables!$B$18</f>
        <v/>
      </c>
      <c r="T13" s="12">
        <f>Variables!$B$19</f>
        <v/>
      </c>
      <c r="U13">
        <f>AA13&lt;=Variables!$B$18</f>
        <v/>
      </c>
      <c r="V13">
        <f>AA13&lt;=Variables!$B$19</f>
        <v/>
      </c>
      <c r="W13">
        <f>P13&lt;=0</f>
        <v/>
      </c>
      <c r="X13" s="12">
        <f>Variables!$B$28</f>
        <v/>
      </c>
      <c r="Y13">
        <f>AB13&lt;=Variables!$B$28</f>
        <v/>
      </c>
      <c r="Z13">
        <f>AB13&lt;=Variables!$B$18</f>
        <v/>
      </c>
      <c r="AA13" s="12">
        <f>AB12</f>
        <v/>
      </c>
      <c r="AB13" s="12">
        <f>AA13+Variables!$B$9-M13</f>
        <v/>
      </c>
      <c r="AC13" s="11">
        <f>IF(MOD(A13-1,Variables!$B$30)=0,Variables!$B$30*M13,0)</f>
        <v/>
      </c>
      <c r="AD13" s="12">
        <f>IF(A13=MATCH(TRUE,$Y$2:$Y$261,0),MAX($AB$2:$AB$261),IF(A13=MATCH(TRUE,$Y$2:$Y$261,0)-1,0,NA()))</f>
        <v/>
      </c>
      <c r="AE13" s="12">
        <f>IF(A13=MATCH(TRUE,$Z$2:$Z$261,0),MAX($AB$2:$AB$261),IF(A13=MATCH(TRUE,$Z$2:$Z$261,0)-1,0,NA()))</f>
        <v/>
      </c>
    </row>
    <row r="14">
      <c r="A14" t="n">
        <v>13</v>
      </c>
      <c r="B14" s="14">
        <f>Variables!$B$24+(A14-1)*7</f>
        <v/>
      </c>
      <c r="C14" s="12">
        <f>P13</f>
        <v/>
      </c>
      <c r="D14" s="12">
        <f>Q13</f>
        <v/>
      </c>
      <c r="E14" s="12">
        <f>C14+IF(A14&gt;Variables!$B$25,D14,0)</f>
        <v/>
      </c>
      <c r="F14" s="12">
        <f>C14+D14</f>
        <v/>
      </c>
      <c r="G14" s="11">
        <f>IF(A14&gt;Variables!$B$22,Variables!$B$12,0)</f>
        <v/>
      </c>
      <c r="H14" s="11">
        <f>IF(AND(A14&gt;Variables!$B$22,Variables!$B$14="Yes"),Variables!$B$13,0)</f>
        <v/>
      </c>
      <c r="I14" s="11">
        <f>IF(AA14&gt;Variables!$B$18,0,IF(AA14&gt;Variables!$B$19,CEILING((AA14-Variables!$B$19)/Variables!$B$21,1)*Variables!$B$20,0))</f>
        <v/>
      </c>
      <c r="J14" s="11">
        <f>IF(AA14&lt;=Variables!$B$18,MIN(Variables!$B$9-Variables!$B$8+I14,Variables!$B$26),0)</f>
        <v/>
      </c>
      <c r="K14" s="11">
        <f>IF(AA14&lt;=Variables!$B$18,Variables!$B$27,0)</f>
        <v/>
      </c>
      <c r="L14" s="11">
        <f>IF(AA14&gt;Variables!$B$18,G14+H14,Variables!$B$26-J14)</f>
        <v/>
      </c>
      <c r="M14" s="11">
        <f>IF(AA14&gt;Variables!$B$18,Variables!$B$2-G14-H14,J14+K14)</f>
        <v/>
      </c>
      <c r="N14" s="11">
        <f>Variables!$B$9-AC14</f>
        <v/>
      </c>
      <c r="O14" s="12">
        <f>F14+N14</f>
        <v/>
      </c>
      <c r="P14" s="12">
        <f>MAX(0,C14+N14)</f>
        <v/>
      </c>
      <c r="Q14" s="12">
        <f>D14+MIN(0,C14+N14)</f>
        <v/>
      </c>
      <c r="R14">
        <f>IF(AA14&gt;Variables!$B$18,"Self-funder",IF(AA14&gt;Variables!$B$19,"Tariff band - council contributing","Council pays standard rate"))</f>
        <v/>
      </c>
      <c r="S14" s="12">
        <f>Variables!$B$18</f>
        <v/>
      </c>
      <c r="T14" s="12">
        <f>Variables!$B$19</f>
        <v/>
      </c>
      <c r="U14">
        <f>AA14&lt;=Variables!$B$18</f>
        <v/>
      </c>
      <c r="V14">
        <f>AA14&lt;=Variables!$B$19</f>
        <v/>
      </c>
      <c r="W14">
        <f>P14&lt;=0</f>
        <v/>
      </c>
      <c r="X14" s="12">
        <f>Variables!$B$28</f>
        <v/>
      </c>
      <c r="Y14">
        <f>AB14&lt;=Variables!$B$28</f>
        <v/>
      </c>
      <c r="Z14">
        <f>AB14&lt;=Variables!$B$18</f>
        <v/>
      </c>
      <c r="AA14" s="12">
        <f>AB13</f>
        <v/>
      </c>
      <c r="AB14" s="12">
        <f>AA14+Variables!$B$9-M14</f>
        <v/>
      </c>
      <c r="AC14" s="11">
        <f>IF(MOD(A14-1,Variables!$B$30)=0,Variables!$B$30*M14,0)</f>
        <v/>
      </c>
      <c r="AD14" s="12">
        <f>IF(A14=MATCH(TRUE,$Y$2:$Y$261,0),MAX($AB$2:$AB$261),IF(A14=MATCH(TRUE,$Y$2:$Y$261,0)-1,0,NA()))</f>
        <v/>
      </c>
      <c r="AE14" s="12">
        <f>IF(A14=MATCH(TRUE,$Z$2:$Z$261,0),MAX($AB$2:$AB$261),IF(A14=MATCH(TRUE,$Z$2:$Z$261,0)-1,0,NA()))</f>
        <v/>
      </c>
    </row>
    <row r="15">
      <c r="A15" t="n">
        <v>14</v>
      </c>
      <c r="B15" s="14">
        <f>Variables!$B$24+(A15-1)*7</f>
        <v/>
      </c>
      <c r="C15" s="12">
        <f>P14</f>
        <v/>
      </c>
      <c r="D15" s="12">
        <f>Q14</f>
        <v/>
      </c>
      <c r="E15" s="12">
        <f>C15+IF(A15&gt;Variables!$B$25,D15,0)</f>
        <v/>
      </c>
      <c r="F15" s="12">
        <f>C15+D15</f>
        <v/>
      </c>
      <c r="G15" s="11">
        <f>IF(A15&gt;Variables!$B$22,Variables!$B$12,0)</f>
        <v/>
      </c>
      <c r="H15" s="11">
        <f>IF(AND(A15&gt;Variables!$B$22,Variables!$B$14="Yes"),Variables!$B$13,0)</f>
        <v/>
      </c>
      <c r="I15" s="11">
        <f>IF(AA15&gt;Variables!$B$18,0,IF(AA15&gt;Variables!$B$19,CEILING((AA15-Variables!$B$19)/Variables!$B$21,1)*Variables!$B$20,0))</f>
        <v/>
      </c>
      <c r="J15" s="11">
        <f>IF(AA15&lt;=Variables!$B$18,MIN(Variables!$B$9-Variables!$B$8+I15,Variables!$B$26),0)</f>
        <v/>
      </c>
      <c r="K15" s="11">
        <f>IF(AA15&lt;=Variables!$B$18,Variables!$B$27,0)</f>
        <v/>
      </c>
      <c r="L15" s="11">
        <f>IF(AA15&gt;Variables!$B$18,G15+H15,Variables!$B$26-J15)</f>
        <v/>
      </c>
      <c r="M15" s="11">
        <f>IF(AA15&gt;Variables!$B$18,Variables!$B$2-G15-H15,J15+K15)</f>
        <v/>
      </c>
      <c r="N15" s="11">
        <f>Variables!$B$9-AC15</f>
        <v/>
      </c>
      <c r="O15" s="12">
        <f>F15+N15</f>
        <v/>
      </c>
      <c r="P15" s="12">
        <f>MAX(0,C15+N15)</f>
        <v/>
      </c>
      <c r="Q15" s="12">
        <f>D15+MIN(0,C15+N15)</f>
        <v/>
      </c>
      <c r="R15">
        <f>IF(AA15&gt;Variables!$B$18,"Self-funder",IF(AA15&gt;Variables!$B$19,"Tariff band - council contributing","Council pays standard rate"))</f>
        <v/>
      </c>
      <c r="S15" s="12">
        <f>Variables!$B$18</f>
        <v/>
      </c>
      <c r="T15" s="12">
        <f>Variables!$B$19</f>
        <v/>
      </c>
      <c r="U15">
        <f>AA15&lt;=Variables!$B$18</f>
        <v/>
      </c>
      <c r="V15">
        <f>AA15&lt;=Variables!$B$19</f>
        <v/>
      </c>
      <c r="W15">
        <f>P15&lt;=0</f>
        <v/>
      </c>
      <c r="X15" s="12">
        <f>Variables!$B$28</f>
        <v/>
      </c>
      <c r="Y15">
        <f>AB15&lt;=Variables!$B$28</f>
        <v/>
      </c>
      <c r="Z15">
        <f>AB15&lt;=Variables!$B$18</f>
        <v/>
      </c>
      <c r="AA15" s="12">
        <f>AB14</f>
        <v/>
      </c>
      <c r="AB15" s="12">
        <f>AA15+Variables!$B$9-M15</f>
        <v/>
      </c>
      <c r="AC15" s="11">
        <f>IF(MOD(A15-1,Variables!$B$30)=0,Variables!$B$30*M15,0)</f>
        <v/>
      </c>
      <c r="AD15" s="12">
        <f>IF(A15=MATCH(TRUE,$Y$2:$Y$261,0),MAX($AB$2:$AB$261),IF(A15=MATCH(TRUE,$Y$2:$Y$261,0)-1,0,NA()))</f>
        <v/>
      </c>
      <c r="AE15" s="12">
        <f>IF(A15=MATCH(TRUE,$Z$2:$Z$261,0),MAX($AB$2:$AB$261),IF(A15=MATCH(TRUE,$Z$2:$Z$261,0)-1,0,NA()))</f>
        <v/>
      </c>
    </row>
    <row r="16">
      <c r="A16" t="n">
        <v>15</v>
      </c>
      <c r="B16" s="14">
        <f>Variables!$B$24+(A16-1)*7</f>
        <v/>
      </c>
      <c r="C16" s="12">
        <f>P15</f>
        <v/>
      </c>
      <c r="D16" s="12">
        <f>Q15</f>
        <v/>
      </c>
      <c r="E16" s="12">
        <f>C16+IF(A16&gt;Variables!$B$25,D16,0)</f>
        <v/>
      </c>
      <c r="F16" s="12">
        <f>C16+D16</f>
        <v/>
      </c>
      <c r="G16" s="11">
        <f>IF(A16&gt;Variables!$B$22,Variables!$B$12,0)</f>
        <v/>
      </c>
      <c r="H16" s="11">
        <f>IF(AND(A16&gt;Variables!$B$22,Variables!$B$14="Yes"),Variables!$B$13,0)</f>
        <v/>
      </c>
      <c r="I16" s="11">
        <f>IF(AA16&gt;Variables!$B$18,0,IF(AA16&gt;Variables!$B$19,CEILING((AA16-Variables!$B$19)/Variables!$B$21,1)*Variables!$B$20,0))</f>
        <v/>
      </c>
      <c r="J16" s="11">
        <f>IF(AA16&lt;=Variables!$B$18,MIN(Variables!$B$9-Variables!$B$8+I16,Variables!$B$26),0)</f>
        <v/>
      </c>
      <c r="K16" s="11">
        <f>IF(AA16&lt;=Variables!$B$18,Variables!$B$27,0)</f>
        <v/>
      </c>
      <c r="L16" s="11">
        <f>IF(AA16&gt;Variables!$B$18,G16+H16,Variables!$B$26-J16)</f>
        <v/>
      </c>
      <c r="M16" s="11">
        <f>IF(AA16&gt;Variables!$B$18,Variables!$B$2-G16-H16,J16+K16)</f>
        <v/>
      </c>
      <c r="N16" s="11">
        <f>Variables!$B$9-AC16</f>
        <v/>
      </c>
      <c r="O16" s="12">
        <f>F16+N16</f>
        <v/>
      </c>
      <c r="P16" s="12">
        <f>MAX(0,C16+N16)</f>
        <v/>
      </c>
      <c r="Q16" s="12">
        <f>D16+MIN(0,C16+N16)</f>
        <v/>
      </c>
      <c r="R16">
        <f>IF(AA16&gt;Variables!$B$18,"Self-funder",IF(AA16&gt;Variables!$B$19,"Tariff band - council contributing","Council pays standard rate"))</f>
        <v/>
      </c>
      <c r="S16" s="12">
        <f>Variables!$B$18</f>
        <v/>
      </c>
      <c r="T16" s="12">
        <f>Variables!$B$19</f>
        <v/>
      </c>
      <c r="U16">
        <f>AA16&lt;=Variables!$B$18</f>
        <v/>
      </c>
      <c r="V16">
        <f>AA16&lt;=Variables!$B$19</f>
        <v/>
      </c>
      <c r="W16">
        <f>P16&lt;=0</f>
        <v/>
      </c>
      <c r="X16" s="12">
        <f>Variables!$B$28</f>
        <v/>
      </c>
      <c r="Y16">
        <f>AB16&lt;=Variables!$B$28</f>
        <v/>
      </c>
      <c r="Z16">
        <f>AB16&lt;=Variables!$B$18</f>
        <v/>
      </c>
      <c r="AA16" s="12">
        <f>AB15</f>
        <v/>
      </c>
      <c r="AB16" s="12">
        <f>AA16+Variables!$B$9-M16</f>
        <v/>
      </c>
      <c r="AC16" s="11">
        <f>IF(MOD(A16-1,Variables!$B$30)=0,Variables!$B$30*M16,0)</f>
        <v/>
      </c>
      <c r="AD16" s="12">
        <f>IF(A16=MATCH(TRUE,$Y$2:$Y$261,0),MAX($AB$2:$AB$261),IF(A16=MATCH(TRUE,$Y$2:$Y$261,0)-1,0,NA()))</f>
        <v/>
      </c>
      <c r="AE16" s="12">
        <f>IF(A16=MATCH(TRUE,$Z$2:$Z$261,0),MAX($AB$2:$AB$261),IF(A16=MATCH(TRUE,$Z$2:$Z$261,0)-1,0,NA()))</f>
        <v/>
      </c>
    </row>
    <row r="17">
      <c r="A17" t="n">
        <v>16</v>
      </c>
      <c r="B17" s="14">
        <f>Variables!$B$24+(A17-1)*7</f>
        <v/>
      </c>
      <c r="C17" s="12">
        <f>P16</f>
        <v/>
      </c>
      <c r="D17" s="12">
        <f>Q16</f>
        <v/>
      </c>
      <c r="E17" s="12">
        <f>C17+IF(A17&gt;Variables!$B$25,D17,0)</f>
        <v/>
      </c>
      <c r="F17" s="12">
        <f>C17+D17</f>
        <v/>
      </c>
      <c r="G17" s="11">
        <f>IF(A17&gt;Variables!$B$22,Variables!$B$12,0)</f>
        <v/>
      </c>
      <c r="H17" s="11">
        <f>IF(AND(A17&gt;Variables!$B$22,Variables!$B$14="Yes"),Variables!$B$13,0)</f>
        <v/>
      </c>
      <c r="I17" s="11">
        <f>IF(AA17&gt;Variables!$B$18,0,IF(AA17&gt;Variables!$B$19,CEILING((AA17-Variables!$B$19)/Variables!$B$21,1)*Variables!$B$20,0))</f>
        <v/>
      </c>
      <c r="J17" s="11">
        <f>IF(AA17&lt;=Variables!$B$18,MIN(Variables!$B$9-Variables!$B$8+I17,Variables!$B$26),0)</f>
        <v/>
      </c>
      <c r="K17" s="11">
        <f>IF(AA17&lt;=Variables!$B$18,Variables!$B$27,0)</f>
        <v/>
      </c>
      <c r="L17" s="11">
        <f>IF(AA17&gt;Variables!$B$18,G17+H17,Variables!$B$26-J17)</f>
        <v/>
      </c>
      <c r="M17" s="11">
        <f>IF(AA17&gt;Variables!$B$18,Variables!$B$2-G17-H17,J17+K17)</f>
        <v/>
      </c>
      <c r="N17" s="11">
        <f>Variables!$B$9-AC17</f>
        <v/>
      </c>
      <c r="O17" s="12">
        <f>F17+N17</f>
        <v/>
      </c>
      <c r="P17" s="12">
        <f>MAX(0,C17+N17)</f>
        <v/>
      </c>
      <c r="Q17" s="12">
        <f>D17+MIN(0,C17+N17)</f>
        <v/>
      </c>
      <c r="R17">
        <f>IF(AA17&gt;Variables!$B$18,"Self-funder",IF(AA17&gt;Variables!$B$19,"Tariff band - council contributing","Council pays standard rate"))</f>
        <v/>
      </c>
      <c r="S17" s="12">
        <f>Variables!$B$18</f>
        <v/>
      </c>
      <c r="T17" s="12">
        <f>Variables!$B$19</f>
        <v/>
      </c>
      <c r="U17">
        <f>AA17&lt;=Variables!$B$18</f>
        <v/>
      </c>
      <c r="V17">
        <f>AA17&lt;=Variables!$B$19</f>
        <v/>
      </c>
      <c r="W17">
        <f>P17&lt;=0</f>
        <v/>
      </c>
      <c r="X17" s="12">
        <f>Variables!$B$28</f>
        <v/>
      </c>
      <c r="Y17">
        <f>AB17&lt;=Variables!$B$28</f>
        <v/>
      </c>
      <c r="Z17">
        <f>AB17&lt;=Variables!$B$18</f>
        <v/>
      </c>
      <c r="AA17" s="12">
        <f>AB16</f>
        <v/>
      </c>
      <c r="AB17" s="12">
        <f>AA17+Variables!$B$9-M17</f>
        <v/>
      </c>
      <c r="AC17" s="11">
        <f>IF(MOD(A17-1,Variables!$B$30)=0,Variables!$B$30*M17,0)</f>
        <v/>
      </c>
      <c r="AD17" s="12">
        <f>IF(A17=MATCH(TRUE,$Y$2:$Y$261,0),MAX($AB$2:$AB$261),IF(A17=MATCH(TRUE,$Y$2:$Y$261,0)-1,0,NA()))</f>
        <v/>
      </c>
      <c r="AE17" s="12">
        <f>IF(A17=MATCH(TRUE,$Z$2:$Z$261,0),MAX($AB$2:$AB$261),IF(A17=MATCH(TRUE,$Z$2:$Z$261,0)-1,0,NA()))</f>
        <v/>
      </c>
    </row>
    <row r="18">
      <c r="A18" t="n">
        <v>17</v>
      </c>
      <c r="B18" s="14">
        <f>Variables!$B$24+(A18-1)*7</f>
        <v/>
      </c>
      <c r="C18" s="12">
        <f>P17</f>
        <v/>
      </c>
      <c r="D18" s="12">
        <f>Q17</f>
        <v/>
      </c>
      <c r="E18" s="12">
        <f>C18+IF(A18&gt;Variables!$B$25,D18,0)</f>
        <v/>
      </c>
      <c r="F18" s="12">
        <f>C18+D18</f>
        <v/>
      </c>
      <c r="G18" s="11">
        <f>IF(A18&gt;Variables!$B$22,Variables!$B$12,0)</f>
        <v/>
      </c>
      <c r="H18" s="11">
        <f>IF(AND(A18&gt;Variables!$B$22,Variables!$B$14="Yes"),Variables!$B$13,0)</f>
        <v/>
      </c>
      <c r="I18" s="11">
        <f>IF(AA18&gt;Variables!$B$18,0,IF(AA18&gt;Variables!$B$19,CEILING((AA18-Variables!$B$19)/Variables!$B$21,1)*Variables!$B$20,0))</f>
        <v/>
      </c>
      <c r="J18" s="11">
        <f>IF(AA18&lt;=Variables!$B$18,MIN(Variables!$B$9-Variables!$B$8+I18,Variables!$B$26),0)</f>
        <v/>
      </c>
      <c r="K18" s="11">
        <f>IF(AA18&lt;=Variables!$B$18,Variables!$B$27,0)</f>
        <v/>
      </c>
      <c r="L18" s="11">
        <f>IF(AA18&gt;Variables!$B$18,G18+H18,Variables!$B$26-J18)</f>
        <v/>
      </c>
      <c r="M18" s="11">
        <f>IF(AA18&gt;Variables!$B$18,Variables!$B$2-G18-H18,J18+K18)</f>
        <v/>
      </c>
      <c r="N18" s="11">
        <f>Variables!$B$9-AC18</f>
        <v/>
      </c>
      <c r="O18" s="12">
        <f>F18+N18</f>
        <v/>
      </c>
      <c r="P18" s="12">
        <f>MAX(0,C18+N18)</f>
        <v/>
      </c>
      <c r="Q18" s="12">
        <f>D18+MIN(0,C18+N18)</f>
        <v/>
      </c>
      <c r="R18">
        <f>IF(AA18&gt;Variables!$B$18,"Self-funder",IF(AA18&gt;Variables!$B$19,"Tariff band - council contributing","Council pays standard rate"))</f>
        <v/>
      </c>
      <c r="S18" s="12">
        <f>Variables!$B$18</f>
        <v/>
      </c>
      <c r="T18" s="12">
        <f>Variables!$B$19</f>
        <v/>
      </c>
      <c r="U18">
        <f>AA18&lt;=Variables!$B$18</f>
        <v/>
      </c>
      <c r="V18">
        <f>AA18&lt;=Variables!$B$19</f>
        <v/>
      </c>
      <c r="W18">
        <f>P18&lt;=0</f>
        <v/>
      </c>
      <c r="X18" s="12">
        <f>Variables!$B$28</f>
        <v/>
      </c>
      <c r="Y18">
        <f>AB18&lt;=Variables!$B$28</f>
        <v/>
      </c>
      <c r="Z18">
        <f>AB18&lt;=Variables!$B$18</f>
        <v/>
      </c>
      <c r="AA18" s="12">
        <f>AB17</f>
        <v/>
      </c>
      <c r="AB18" s="12">
        <f>AA18+Variables!$B$9-M18</f>
        <v/>
      </c>
      <c r="AC18" s="11">
        <f>IF(MOD(A18-1,Variables!$B$30)=0,Variables!$B$30*M18,0)</f>
        <v/>
      </c>
      <c r="AD18" s="12">
        <f>IF(A18=MATCH(TRUE,$Y$2:$Y$261,0),MAX($AB$2:$AB$261),IF(A18=MATCH(TRUE,$Y$2:$Y$261,0)-1,0,NA()))</f>
        <v/>
      </c>
      <c r="AE18" s="12">
        <f>IF(A18=MATCH(TRUE,$Z$2:$Z$261,0),MAX($AB$2:$AB$261),IF(A18=MATCH(TRUE,$Z$2:$Z$261,0)-1,0,NA()))</f>
        <v/>
      </c>
    </row>
    <row r="19">
      <c r="A19" t="n">
        <v>18</v>
      </c>
      <c r="B19" s="14">
        <f>Variables!$B$24+(A19-1)*7</f>
        <v/>
      </c>
      <c r="C19" s="12">
        <f>P18</f>
        <v/>
      </c>
      <c r="D19" s="12">
        <f>Q18</f>
        <v/>
      </c>
      <c r="E19" s="12">
        <f>C19+IF(A19&gt;Variables!$B$25,D19,0)</f>
        <v/>
      </c>
      <c r="F19" s="12">
        <f>C19+D19</f>
        <v/>
      </c>
      <c r="G19" s="11">
        <f>IF(A19&gt;Variables!$B$22,Variables!$B$12,0)</f>
        <v/>
      </c>
      <c r="H19" s="11">
        <f>IF(AND(A19&gt;Variables!$B$22,Variables!$B$14="Yes"),Variables!$B$13,0)</f>
        <v/>
      </c>
      <c r="I19" s="11">
        <f>IF(AA19&gt;Variables!$B$18,0,IF(AA19&gt;Variables!$B$19,CEILING((AA19-Variables!$B$19)/Variables!$B$21,1)*Variables!$B$20,0))</f>
        <v/>
      </c>
      <c r="J19" s="11">
        <f>IF(AA19&lt;=Variables!$B$18,MIN(Variables!$B$9-Variables!$B$8+I19,Variables!$B$26),0)</f>
        <v/>
      </c>
      <c r="K19" s="11">
        <f>IF(AA19&lt;=Variables!$B$18,Variables!$B$27,0)</f>
        <v/>
      </c>
      <c r="L19" s="11">
        <f>IF(AA19&gt;Variables!$B$18,G19+H19,Variables!$B$26-J19)</f>
        <v/>
      </c>
      <c r="M19" s="11">
        <f>IF(AA19&gt;Variables!$B$18,Variables!$B$2-G19-H19,J19+K19)</f>
        <v/>
      </c>
      <c r="N19" s="11">
        <f>Variables!$B$9-AC19</f>
        <v/>
      </c>
      <c r="O19" s="12">
        <f>F19+N19</f>
        <v/>
      </c>
      <c r="P19" s="12">
        <f>MAX(0,C19+N19)</f>
        <v/>
      </c>
      <c r="Q19" s="12">
        <f>D19+MIN(0,C19+N19)</f>
        <v/>
      </c>
      <c r="R19">
        <f>IF(AA19&gt;Variables!$B$18,"Self-funder",IF(AA19&gt;Variables!$B$19,"Tariff band - council contributing","Council pays standard rate"))</f>
        <v/>
      </c>
      <c r="S19" s="12">
        <f>Variables!$B$18</f>
        <v/>
      </c>
      <c r="T19" s="12">
        <f>Variables!$B$19</f>
        <v/>
      </c>
      <c r="U19">
        <f>AA19&lt;=Variables!$B$18</f>
        <v/>
      </c>
      <c r="V19">
        <f>AA19&lt;=Variables!$B$19</f>
        <v/>
      </c>
      <c r="W19">
        <f>P19&lt;=0</f>
        <v/>
      </c>
      <c r="X19" s="12">
        <f>Variables!$B$28</f>
        <v/>
      </c>
      <c r="Y19">
        <f>AB19&lt;=Variables!$B$28</f>
        <v/>
      </c>
      <c r="Z19">
        <f>AB19&lt;=Variables!$B$18</f>
        <v/>
      </c>
      <c r="AA19" s="12">
        <f>AB18</f>
        <v/>
      </c>
      <c r="AB19" s="12">
        <f>AA19+Variables!$B$9-M19</f>
        <v/>
      </c>
      <c r="AC19" s="11">
        <f>IF(MOD(A19-1,Variables!$B$30)=0,Variables!$B$30*M19,0)</f>
        <v/>
      </c>
      <c r="AD19" s="12">
        <f>IF(A19=MATCH(TRUE,$Y$2:$Y$261,0),MAX($AB$2:$AB$261),IF(A19=MATCH(TRUE,$Y$2:$Y$261,0)-1,0,NA()))</f>
        <v/>
      </c>
      <c r="AE19" s="12">
        <f>IF(A19=MATCH(TRUE,$Z$2:$Z$261,0),MAX($AB$2:$AB$261),IF(A19=MATCH(TRUE,$Z$2:$Z$261,0)-1,0,NA()))</f>
        <v/>
      </c>
    </row>
    <row r="20">
      <c r="A20" t="n">
        <v>19</v>
      </c>
      <c r="B20" s="14">
        <f>Variables!$B$24+(A20-1)*7</f>
        <v/>
      </c>
      <c r="C20" s="12">
        <f>P19</f>
        <v/>
      </c>
      <c r="D20" s="12">
        <f>Q19</f>
        <v/>
      </c>
      <c r="E20" s="12">
        <f>C20+IF(A20&gt;Variables!$B$25,D20,0)</f>
        <v/>
      </c>
      <c r="F20" s="12">
        <f>C20+D20</f>
        <v/>
      </c>
      <c r="G20" s="11">
        <f>IF(A20&gt;Variables!$B$22,Variables!$B$12,0)</f>
        <v/>
      </c>
      <c r="H20" s="11">
        <f>IF(AND(A20&gt;Variables!$B$22,Variables!$B$14="Yes"),Variables!$B$13,0)</f>
        <v/>
      </c>
      <c r="I20" s="11">
        <f>IF(AA20&gt;Variables!$B$18,0,IF(AA20&gt;Variables!$B$19,CEILING((AA20-Variables!$B$19)/Variables!$B$21,1)*Variables!$B$20,0))</f>
        <v/>
      </c>
      <c r="J20" s="11">
        <f>IF(AA20&lt;=Variables!$B$18,MIN(Variables!$B$9-Variables!$B$8+I20,Variables!$B$26),0)</f>
        <v/>
      </c>
      <c r="K20" s="11">
        <f>IF(AA20&lt;=Variables!$B$18,Variables!$B$27,0)</f>
        <v/>
      </c>
      <c r="L20" s="11">
        <f>IF(AA20&gt;Variables!$B$18,G20+H20,Variables!$B$26-J20)</f>
        <v/>
      </c>
      <c r="M20" s="11">
        <f>IF(AA20&gt;Variables!$B$18,Variables!$B$2-G20-H20,J20+K20)</f>
        <v/>
      </c>
      <c r="N20" s="11">
        <f>Variables!$B$9-AC20</f>
        <v/>
      </c>
      <c r="O20" s="12">
        <f>F20+N20</f>
        <v/>
      </c>
      <c r="P20" s="12">
        <f>MAX(0,C20+N20)</f>
        <v/>
      </c>
      <c r="Q20" s="12">
        <f>D20+MIN(0,C20+N20)</f>
        <v/>
      </c>
      <c r="R20">
        <f>IF(AA20&gt;Variables!$B$18,"Self-funder",IF(AA20&gt;Variables!$B$19,"Tariff band - council contributing","Council pays standard rate"))</f>
        <v/>
      </c>
      <c r="S20" s="12">
        <f>Variables!$B$18</f>
        <v/>
      </c>
      <c r="T20" s="12">
        <f>Variables!$B$19</f>
        <v/>
      </c>
      <c r="U20">
        <f>AA20&lt;=Variables!$B$18</f>
        <v/>
      </c>
      <c r="V20">
        <f>AA20&lt;=Variables!$B$19</f>
        <v/>
      </c>
      <c r="W20">
        <f>P20&lt;=0</f>
        <v/>
      </c>
      <c r="X20" s="12">
        <f>Variables!$B$28</f>
        <v/>
      </c>
      <c r="Y20">
        <f>AB20&lt;=Variables!$B$28</f>
        <v/>
      </c>
      <c r="Z20">
        <f>AB20&lt;=Variables!$B$18</f>
        <v/>
      </c>
      <c r="AA20" s="12">
        <f>AB19</f>
        <v/>
      </c>
      <c r="AB20" s="12">
        <f>AA20+Variables!$B$9-M20</f>
        <v/>
      </c>
      <c r="AC20" s="11">
        <f>IF(MOD(A20-1,Variables!$B$30)=0,Variables!$B$30*M20,0)</f>
        <v/>
      </c>
      <c r="AD20" s="12">
        <f>IF(A20=MATCH(TRUE,$Y$2:$Y$261,0),MAX($AB$2:$AB$261),IF(A20=MATCH(TRUE,$Y$2:$Y$261,0)-1,0,NA()))</f>
        <v/>
      </c>
      <c r="AE20" s="12">
        <f>IF(A20=MATCH(TRUE,$Z$2:$Z$261,0),MAX($AB$2:$AB$261),IF(A20=MATCH(TRUE,$Z$2:$Z$261,0)-1,0,NA()))</f>
        <v/>
      </c>
    </row>
    <row r="21">
      <c r="A21" t="n">
        <v>20</v>
      </c>
      <c r="B21" s="14">
        <f>Variables!$B$24+(A21-1)*7</f>
        <v/>
      </c>
      <c r="C21" s="12">
        <f>P20</f>
        <v/>
      </c>
      <c r="D21" s="12">
        <f>Q20</f>
        <v/>
      </c>
      <c r="E21" s="12">
        <f>C21+IF(A21&gt;Variables!$B$25,D21,0)</f>
        <v/>
      </c>
      <c r="F21" s="12">
        <f>C21+D21</f>
        <v/>
      </c>
      <c r="G21" s="11">
        <f>IF(A21&gt;Variables!$B$22,Variables!$B$12,0)</f>
        <v/>
      </c>
      <c r="H21" s="11">
        <f>IF(AND(A21&gt;Variables!$B$22,Variables!$B$14="Yes"),Variables!$B$13,0)</f>
        <v/>
      </c>
      <c r="I21" s="11">
        <f>IF(AA21&gt;Variables!$B$18,0,IF(AA21&gt;Variables!$B$19,CEILING((AA21-Variables!$B$19)/Variables!$B$21,1)*Variables!$B$20,0))</f>
        <v/>
      </c>
      <c r="J21" s="11">
        <f>IF(AA21&lt;=Variables!$B$18,MIN(Variables!$B$9-Variables!$B$8+I21,Variables!$B$26),0)</f>
        <v/>
      </c>
      <c r="K21" s="11">
        <f>IF(AA21&lt;=Variables!$B$18,Variables!$B$27,0)</f>
        <v/>
      </c>
      <c r="L21" s="11">
        <f>IF(AA21&gt;Variables!$B$18,G21+H21,Variables!$B$26-J21)</f>
        <v/>
      </c>
      <c r="M21" s="11">
        <f>IF(AA21&gt;Variables!$B$18,Variables!$B$2-G21-H21,J21+K21)</f>
        <v/>
      </c>
      <c r="N21" s="11">
        <f>Variables!$B$9-AC21</f>
        <v/>
      </c>
      <c r="O21" s="12">
        <f>F21+N21</f>
        <v/>
      </c>
      <c r="P21" s="12">
        <f>MAX(0,C21+N21)</f>
        <v/>
      </c>
      <c r="Q21" s="12">
        <f>D21+MIN(0,C21+N21)</f>
        <v/>
      </c>
      <c r="R21">
        <f>IF(AA21&gt;Variables!$B$18,"Self-funder",IF(AA21&gt;Variables!$B$19,"Tariff band - council contributing","Council pays standard rate"))</f>
        <v/>
      </c>
      <c r="S21" s="12">
        <f>Variables!$B$18</f>
        <v/>
      </c>
      <c r="T21" s="12">
        <f>Variables!$B$19</f>
        <v/>
      </c>
      <c r="U21">
        <f>AA21&lt;=Variables!$B$18</f>
        <v/>
      </c>
      <c r="V21">
        <f>AA21&lt;=Variables!$B$19</f>
        <v/>
      </c>
      <c r="W21">
        <f>P21&lt;=0</f>
        <v/>
      </c>
      <c r="X21" s="12">
        <f>Variables!$B$28</f>
        <v/>
      </c>
      <c r="Y21">
        <f>AB21&lt;=Variables!$B$28</f>
        <v/>
      </c>
      <c r="Z21">
        <f>AB21&lt;=Variables!$B$18</f>
        <v/>
      </c>
      <c r="AA21" s="12">
        <f>AB20</f>
        <v/>
      </c>
      <c r="AB21" s="12">
        <f>AA21+Variables!$B$9-M21</f>
        <v/>
      </c>
      <c r="AC21" s="11">
        <f>IF(MOD(A21-1,Variables!$B$30)=0,Variables!$B$30*M21,0)</f>
        <v/>
      </c>
      <c r="AD21" s="12">
        <f>IF(A21=MATCH(TRUE,$Y$2:$Y$261,0),MAX($AB$2:$AB$261),IF(A21=MATCH(TRUE,$Y$2:$Y$261,0)-1,0,NA()))</f>
        <v/>
      </c>
      <c r="AE21" s="12">
        <f>IF(A21=MATCH(TRUE,$Z$2:$Z$261,0),MAX($AB$2:$AB$261),IF(A21=MATCH(TRUE,$Z$2:$Z$261,0)-1,0,NA()))</f>
        <v/>
      </c>
    </row>
    <row r="22">
      <c r="A22" t="n">
        <v>21</v>
      </c>
      <c r="B22" s="14">
        <f>Variables!$B$24+(A22-1)*7</f>
        <v/>
      </c>
      <c r="C22" s="12">
        <f>P21</f>
        <v/>
      </c>
      <c r="D22" s="12">
        <f>Q21</f>
        <v/>
      </c>
      <c r="E22" s="12">
        <f>C22+IF(A22&gt;Variables!$B$25,D22,0)</f>
        <v/>
      </c>
      <c r="F22" s="12">
        <f>C22+D22</f>
        <v/>
      </c>
      <c r="G22" s="11">
        <f>IF(A22&gt;Variables!$B$22,Variables!$B$12,0)</f>
        <v/>
      </c>
      <c r="H22" s="11">
        <f>IF(AND(A22&gt;Variables!$B$22,Variables!$B$14="Yes"),Variables!$B$13,0)</f>
        <v/>
      </c>
      <c r="I22" s="11">
        <f>IF(AA22&gt;Variables!$B$18,0,IF(AA22&gt;Variables!$B$19,CEILING((AA22-Variables!$B$19)/Variables!$B$21,1)*Variables!$B$20,0))</f>
        <v/>
      </c>
      <c r="J22" s="11">
        <f>IF(AA22&lt;=Variables!$B$18,MIN(Variables!$B$9-Variables!$B$8+I22,Variables!$B$26),0)</f>
        <v/>
      </c>
      <c r="K22" s="11">
        <f>IF(AA22&lt;=Variables!$B$18,Variables!$B$27,0)</f>
        <v/>
      </c>
      <c r="L22" s="11">
        <f>IF(AA22&gt;Variables!$B$18,G22+H22,Variables!$B$26-J22)</f>
        <v/>
      </c>
      <c r="M22" s="11">
        <f>IF(AA22&gt;Variables!$B$18,Variables!$B$2-G22-H22,J22+K22)</f>
        <v/>
      </c>
      <c r="N22" s="11">
        <f>Variables!$B$9-AC22</f>
        <v/>
      </c>
      <c r="O22" s="12">
        <f>F22+N22</f>
        <v/>
      </c>
      <c r="P22" s="12">
        <f>MAX(0,C22+N22)</f>
        <v/>
      </c>
      <c r="Q22" s="12">
        <f>D22+MIN(0,C22+N22)</f>
        <v/>
      </c>
      <c r="R22">
        <f>IF(AA22&gt;Variables!$B$18,"Self-funder",IF(AA22&gt;Variables!$B$19,"Tariff band - council contributing","Council pays standard rate"))</f>
        <v/>
      </c>
      <c r="S22" s="12">
        <f>Variables!$B$18</f>
        <v/>
      </c>
      <c r="T22" s="12">
        <f>Variables!$B$19</f>
        <v/>
      </c>
      <c r="U22">
        <f>AA22&lt;=Variables!$B$18</f>
        <v/>
      </c>
      <c r="V22">
        <f>AA22&lt;=Variables!$B$19</f>
        <v/>
      </c>
      <c r="W22">
        <f>P22&lt;=0</f>
        <v/>
      </c>
      <c r="X22" s="12">
        <f>Variables!$B$28</f>
        <v/>
      </c>
      <c r="Y22">
        <f>AB22&lt;=Variables!$B$28</f>
        <v/>
      </c>
      <c r="Z22">
        <f>AB22&lt;=Variables!$B$18</f>
        <v/>
      </c>
      <c r="AA22" s="12">
        <f>AB21</f>
        <v/>
      </c>
      <c r="AB22" s="12">
        <f>AA22+Variables!$B$9-M22</f>
        <v/>
      </c>
      <c r="AC22" s="11">
        <f>IF(MOD(A22-1,Variables!$B$30)=0,Variables!$B$30*M22,0)</f>
        <v/>
      </c>
      <c r="AD22" s="12">
        <f>IF(A22=MATCH(TRUE,$Y$2:$Y$261,0),MAX($AB$2:$AB$261),IF(A22=MATCH(TRUE,$Y$2:$Y$261,0)-1,0,NA()))</f>
        <v/>
      </c>
      <c r="AE22" s="12">
        <f>IF(A22=MATCH(TRUE,$Z$2:$Z$261,0),MAX($AB$2:$AB$261),IF(A22=MATCH(TRUE,$Z$2:$Z$261,0)-1,0,NA()))</f>
        <v/>
      </c>
    </row>
    <row r="23">
      <c r="A23" t="n">
        <v>22</v>
      </c>
      <c r="B23" s="14">
        <f>Variables!$B$24+(A23-1)*7</f>
        <v/>
      </c>
      <c r="C23" s="12">
        <f>P22</f>
        <v/>
      </c>
      <c r="D23" s="12">
        <f>Q22</f>
        <v/>
      </c>
      <c r="E23" s="12">
        <f>C23+IF(A23&gt;Variables!$B$25,D23,0)</f>
        <v/>
      </c>
      <c r="F23" s="12">
        <f>C23+D23</f>
        <v/>
      </c>
      <c r="G23" s="11">
        <f>IF(A23&gt;Variables!$B$22,Variables!$B$12,0)</f>
        <v/>
      </c>
      <c r="H23" s="11">
        <f>IF(AND(A23&gt;Variables!$B$22,Variables!$B$14="Yes"),Variables!$B$13,0)</f>
        <v/>
      </c>
      <c r="I23" s="11">
        <f>IF(AA23&gt;Variables!$B$18,0,IF(AA23&gt;Variables!$B$19,CEILING((AA23-Variables!$B$19)/Variables!$B$21,1)*Variables!$B$20,0))</f>
        <v/>
      </c>
      <c r="J23" s="11">
        <f>IF(AA23&lt;=Variables!$B$18,MIN(Variables!$B$9-Variables!$B$8+I23,Variables!$B$26),0)</f>
        <v/>
      </c>
      <c r="K23" s="11">
        <f>IF(AA23&lt;=Variables!$B$18,Variables!$B$27,0)</f>
        <v/>
      </c>
      <c r="L23" s="11">
        <f>IF(AA23&gt;Variables!$B$18,G23+H23,Variables!$B$26-J23)</f>
        <v/>
      </c>
      <c r="M23" s="11">
        <f>IF(AA23&gt;Variables!$B$18,Variables!$B$2-G23-H23,J23+K23)</f>
        <v/>
      </c>
      <c r="N23" s="11">
        <f>Variables!$B$9-AC23</f>
        <v/>
      </c>
      <c r="O23" s="12">
        <f>F23+N23</f>
        <v/>
      </c>
      <c r="P23" s="12">
        <f>MAX(0,C23+N23)</f>
        <v/>
      </c>
      <c r="Q23" s="12">
        <f>D23+MIN(0,C23+N23)</f>
        <v/>
      </c>
      <c r="R23">
        <f>IF(AA23&gt;Variables!$B$18,"Self-funder",IF(AA23&gt;Variables!$B$19,"Tariff band - council contributing","Council pays standard rate"))</f>
        <v/>
      </c>
      <c r="S23" s="12">
        <f>Variables!$B$18</f>
        <v/>
      </c>
      <c r="T23" s="12">
        <f>Variables!$B$19</f>
        <v/>
      </c>
      <c r="U23">
        <f>AA23&lt;=Variables!$B$18</f>
        <v/>
      </c>
      <c r="V23">
        <f>AA23&lt;=Variables!$B$19</f>
        <v/>
      </c>
      <c r="W23">
        <f>P23&lt;=0</f>
        <v/>
      </c>
      <c r="X23" s="12">
        <f>Variables!$B$28</f>
        <v/>
      </c>
      <c r="Y23">
        <f>AB23&lt;=Variables!$B$28</f>
        <v/>
      </c>
      <c r="Z23">
        <f>AB23&lt;=Variables!$B$18</f>
        <v/>
      </c>
      <c r="AA23" s="12">
        <f>AB22</f>
        <v/>
      </c>
      <c r="AB23" s="12">
        <f>AA23+Variables!$B$9-M23</f>
        <v/>
      </c>
      <c r="AC23" s="11">
        <f>IF(MOD(A23-1,Variables!$B$30)=0,Variables!$B$30*M23,0)</f>
        <v/>
      </c>
      <c r="AD23" s="12">
        <f>IF(A23=MATCH(TRUE,$Y$2:$Y$261,0),MAX($AB$2:$AB$261),IF(A23=MATCH(TRUE,$Y$2:$Y$261,0)-1,0,NA()))</f>
        <v/>
      </c>
      <c r="AE23" s="12">
        <f>IF(A23=MATCH(TRUE,$Z$2:$Z$261,0),MAX($AB$2:$AB$261),IF(A23=MATCH(TRUE,$Z$2:$Z$261,0)-1,0,NA()))</f>
        <v/>
      </c>
    </row>
    <row r="24">
      <c r="A24" t="n">
        <v>23</v>
      </c>
      <c r="B24" s="14">
        <f>Variables!$B$24+(A24-1)*7</f>
        <v/>
      </c>
      <c r="C24" s="12">
        <f>P23</f>
        <v/>
      </c>
      <c r="D24" s="12">
        <f>Q23</f>
        <v/>
      </c>
      <c r="E24" s="12">
        <f>C24+IF(A24&gt;Variables!$B$25,D24,0)</f>
        <v/>
      </c>
      <c r="F24" s="12">
        <f>C24+D24</f>
        <v/>
      </c>
      <c r="G24" s="11">
        <f>IF(A24&gt;Variables!$B$22,Variables!$B$12,0)</f>
        <v/>
      </c>
      <c r="H24" s="11">
        <f>IF(AND(A24&gt;Variables!$B$22,Variables!$B$14="Yes"),Variables!$B$13,0)</f>
        <v/>
      </c>
      <c r="I24" s="11">
        <f>IF(AA24&gt;Variables!$B$18,0,IF(AA24&gt;Variables!$B$19,CEILING((AA24-Variables!$B$19)/Variables!$B$21,1)*Variables!$B$20,0))</f>
        <v/>
      </c>
      <c r="J24" s="11">
        <f>IF(AA24&lt;=Variables!$B$18,MIN(Variables!$B$9-Variables!$B$8+I24,Variables!$B$26),0)</f>
        <v/>
      </c>
      <c r="K24" s="11">
        <f>IF(AA24&lt;=Variables!$B$18,Variables!$B$27,0)</f>
        <v/>
      </c>
      <c r="L24" s="11">
        <f>IF(AA24&gt;Variables!$B$18,G24+H24,Variables!$B$26-J24)</f>
        <v/>
      </c>
      <c r="M24" s="11">
        <f>IF(AA24&gt;Variables!$B$18,Variables!$B$2-G24-H24,J24+K24)</f>
        <v/>
      </c>
      <c r="N24" s="11">
        <f>Variables!$B$9-AC24</f>
        <v/>
      </c>
      <c r="O24" s="12">
        <f>F24+N24</f>
        <v/>
      </c>
      <c r="P24" s="12">
        <f>MAX(0,C24+N24)</f>
        <v/>
      </c>
      <c r="Q24" s="12">
        <f>D24+MIN(0,C24+N24)</f>
        <v/>
      </c>
      <c r="R24">
        <f>IF(AA24&gt;Variables!$B$18,"Self-funder",IF(AA24&gt;Variables!$B$19,"Tariff band - council contributing","Council pays standard rate"))</f>
        <v/>
      </c>
      <c r="S24" s="12">
        <f>Variables!$B$18</f>
        <v/>
      </c>
      <c r="T24" s="12">
        <f>Variables!$B$19</f>
        <v/>
      </c>
      <c r="U24">
        <f>AA24&lt;=Variables!$B$18</f>
        <v/>
      </c>
      <c r="V24">
        <f>AA24&lt;=Variables!$B$19</f>
        <v/>
      </c>
      <c r="W24">
        <f>P24&lt;=0</f>
        <v/>
      </c>
      <c r="X24" s="12">
        <f>Variables!$B$28</f>
        <v/>
      </c>
      <c r="Y24">
        <f>AB24&lt;=Variables!$B$28</f>
        <v/>
      </c>
      <c r="Z24">
        <f>AB24&lt;=Variables!$B$18</f>
        <v/>
      </c>
      <c r="AA24" s="12">
        <f>AB23</f>
        <v/>
      </c>
      <c r="AB24" s="12">
        <f>AA24+Variables!$B$9-M24</f>
        <v/>
      </c>
      <c r="AC24" s="11">
        <f>IF(MOD(A24-1,Variables!$B$30)=0,Variables!$B$30*M24,0)</f>
        <v/>
      </c>
      <c r="AD24" s="12">
        <f>IF(A24=MATCH(TRUE,$Y$2:$Y$261,0),MAX($AB$2:$AB$261),IF(A24=MATCH(TRUE,$Y$2:$Y$261,0)-1,0,NA()))</f>
        <v/>
      </c>
      <c r="AE24" s="12">
        <f>IF(A24=MATCH(TRUE,$Z$2:$Z$261,0),MAX($AB$2:$AB$261),IF(A24=MATCH(TRUE,$Z$2:$Z$261,0)-1,0,NA()))</f>
        <v/>
      </c>
    </row>
    <row r="25">
      <c r="A25" t="n">
        <v>24</v>
      </c>
      <c r="B25" s="14">
        <f>Variables!$B$24+(A25-1)*7</f>
        <v/>
      </c>
      <c r="C25" s="12">
        <f>P24</f>
        <v/>
      </c>
      <c r="D25" s="12">
        <f>Q24</f>
        <v/>
      </c>
      <c r="E25" s="12">
        <f>C25+IF(A25&gt;Variables!$B$25,D25,0)</f>
        <v/>
      </c>
      <c r="F25" s="12">
        <f>C25+D25</f>
        <v/>
      </c>
      <c r="G25" s="11">
        <f>IF(A25&gt;Variables!$B$22,Variables!$B$12,0)</f>
        <v/>
      </c>
      <c r="H25" s="11">
        <f>IF(AND(A25&gt;Variables!$B$22,Variables!$B$14="Yes"),Variables!$B$13,0)</f>
        <v/>
      </c>
      <c r="I25" s="11">
        <f>IF(AA25&gt;Variables!$B$18,0,IF(AA25&gt;Variables!$B$19,CEILING((AA25-Variables!$B$19)/Variables!$B$21,1)*Variables!$B$20,0))</f>
        <v/>
      </c>
      <c r="J25" s="11">
        <f>IF(AA25&lt;=Variables!$B$18,MIN(Variables!$B$9-Variables!$B$8+I25,Variables!$B$26),0)</f>
        <v/>
      </c>
      <c r="K25" s="11">
        <f>IF(AA25&lt;=Variables!$B$18,Variables!$B$27,0)</f>
        <v/>
      </c>
      <c r="L25" s="11">
        <f>IF(AA25&gt;Variables!$B$18,G25+H25,Variables!$B$26-J25)</f>
        <v/>
      </c>
      <c r="M25" s="11">
        <f>IF(AA25&gt;Variables!$B$18,Variables!$B$2-G25-H25,J25+K25)</f>
        <v/>
      </c>
      <c r="N25" s="11">
        <f>Variables!$B$9-AC25</f>
        <v/>
      </c>
      <c r="O25" s="12">
        <f>F25+N25</f>
        <v/>
      </c>
      <c r="P25" s="12">
        <f>MAX(0,C25+N25)</f>
        <v/>
      </c>
      <c r="Q25" s="12">
        <f>D25+MIN(0,C25+N25)</f>
        <v/>
      </c>
      <c r="R25">
        <f>IF(AA25&gt;Variables!$B$18,"Self-funder",IF(AA25&gt;Variables!$B$19,"Tariff band - council contributing","Council pays standard rate"))</f>
        <v/>
      </c>
      <c r="S25" s="12">
        <f>Variables!$B$18</f>
        <v/>
      </c>
      <c r="T25" s="12">
        <f>Variables!$B$19</f>
        <v/>
      </c>
      <c r="U25">
        <f>AA25&lt;=Variables!$B$18</f>
        <v/>
      </c>
      <c r="V25">
        <f>AA25&lt;=Variables!$B$19</f>
        <v/>
      </c>
      <c r="W25">
        <f>P25&lt;=0</f>
        <v/>
      </c>
      <c r="X25" s="12">
        <f>Variables!$B$28</f>
        <v/>
      </c>
      <c r="Y25">
        <f>AB25&lt;=Variables!$B$28</f>
        <v/>
      </c>
      <c r="Z25">
        <f>AB25&lt;=Variables!$B$18</f>
        <v/>
      </c>
      <c r="AA25" s="12">
        <f>AB24</f>
        <v/>
      </c>
      <c r="AB25" s="12">
        <f>AA25+Variables!$B$9-M25</f>
        <v/>
      </c>
      <c r="AC25" s="11">
        <f>IF(MOD(A25-1,Variables!$B$30)=0,Variables!$B$30*M25,0)</f>
        <v/>
      </c>
      <c r="AD25" s="12">
        <f>IF(A25=MATCH(TRUE,$Y$2:$Y$261,0),MAX($AB$2:$AB$261),IF(A25=MATCH(TRUE,$Y$2:$Y$261,0)-1,0,NA()))</f>
        <v/>
      </c>
      <c r="AE25" s="12">
        <f>IF(A25=MATCH(TRUE,$Z$2:$Z$261,0),MAX($AB$2:$AB$261),IF(A25=MATCH(TRUE,$Z$2:$Z$261,0)-1,0,NA()))</f>
        <v/>
      </c>
    </row>
    <row r="26">
      <c r="A26" t="n">
        <v>25</v>
      </c>
      <c r="B26" s="14">
        <f>Variables!$B$24+(A26-1)*7</f>
        <v/>
      </c>
      <c r="C26" s="12">
        <f>P25</f>
        <v/>
      </c>
      <c r="D26" s="12">
        <f>Q25</f>
        <v/>
      </c>
      <c r="E26" s="12">
        <f>C26+IF(A26&gt;Variables!$B$25,D26,0)</f>
        <v/>
      </c>
      <c r="F26" s="12">
        <f>C26+D26</f>
        <v/>
      </c>
      <c r="G26" s="11">
        <f>IF(A26&gt;Variables!$B$22,Variables!$B$12,0)</f>
        <v/>
      </c>
      <c r="H26" s="11">
        <f>IF(AND(A26&gt;Variables!$B$22,Variables!$B$14="Yes"),Variables!$B$13,0)</f>
        <v/>
      </c>
      <c r="I26" s="11">
        <f>IF(AA26&gt;Variables!$B$18,0,IF(AA26&gt;Variables!$B$19,CEILING((AA26-Variables!$B$19)/Variables!$B$21,1)*Variables!$B$20,0))</f>
        <v/>
      </c>
      <c r="J26" s="11">
        <f>IF(AA26&lt;=Variables!$B$18,MIN(Variables!$B$9-Variables!$B$8+I26,Variables!$B$26),0)</f>
        <v/>
      </c>
      <c r="K26" s="11">
        <f>IF(AA26&lt;=Variables!$B$18,Variables!$B$27,0)</f>
        <v/>
      </c>
      <c r="L26" s="11">
        <f>IF(AA26&gt;Variables!$B$18,G26+H26,Variables!$B$26-J26)</f>
        <v/>
      </c>
      <c r="M26" s="11">
        <f>IF(AA26&gt;Variables!$B$18,Variables!$B$2-G26-H26,J26+K26)</f>
        <v/>
      </c>
      <c r="N26" s="11">
        <f>Variables!$B$9-AC26</f>
        <v/>
      </c>
      <c r="O26" s="12">
        <f>F26+N26</f>
        <v/>
      </c>
      <c r="P26" s="12">
        <f>MAX(0,C26+N26)</f>
        <v/>
      </c>
      <c r="Q26" s="12">
        <f>D26+MIN(0,C26+N26)</f>
        <v/>
      </c>
      <c r="R26">
        <f>IF(AA26&gt;Variables!$B$18,"Self-funder",IF(AA26&gt;Variables!$B$19,"Tariff band - council contributing","Council pays standard rate"))</f>
        <v/>
      </c>
      <c r="S26" s="12">
        <f>Variables!$B$18</f>
        <v/>
      </c>
      <c r="T26" s="12">
        <f>Variables!$B$19</f>
        <v/>
      </c>
      <c r="U26">
        <f>AA26&lt;=Variables!$B$18</f>
        <v/>
      </c>
      <c r="V26">
        <f>AA26&lt;=Variables!$B$19</f>
        <v/>
      </c>
      <c r="W26">
        <f>P26&lt;=0</f>
        <v/>
      </c>
      <c r="X26" s="12">
        <f>Variables!$B$28</f>
        <v/>
      </c>
      <c r="Y26">
        <f>AB26&lt;=Variables!$B$28</f>
        <v/>
      </c>
      <c r="Z26">
        <f>AB26&lt;=Variables!$B$18</f>
        <v/>
      </c>
      <c r="AA26" s="12">
        <f>AB25</f>
        <v/>
      </c>
      <c r="AB26" s="12">
        <f>AA26+Variables!$B$9-M26</f>
        <v/>
      </c>
      <c r="AC26" s="11">
        <f>IF(MOD(A26-1,Variables!$B$30)=0,Variables!$B$30*M26,0)</f>
        <v/>
      </c>
      <c r="AD26" s="12">
        <f>IF(A26=MATCH(TRUE,$Y$2:$Y$261,0),MAX($AB$2:$AB$261),IF(A26=MATCH(TRUE,$Y$2:$Y$261,0)-1,0,NA()))</f>
        <v/>
      </c>
      <c r="AE26" s="12">
        <f>IF(A26=MATCH(TRUE,$Z$2:$Z$261,0),MAX($AB$2:$AB$261),IF(A26=MATCH(TRUE,$Z$2:$Z$261,0)-1,0,NA()))</f>
        <v/>
      </c>
    </row>
    <row r="27">
      <c r="A27" t="n">
        <v>26</v>
      </c>
      <c r="B27" s="14">
        <f>Variables!$B$24+(A27-1)*7</f>
        <v/>
      </c>
      <c r="C27" s="12">
        <f>P26</f>
        <v/>
      </c>
      <c r="D27" s="12">
        <f>Q26</f>
        <v/>
      </c>
      <c r="E27" s="12">
        <f>C27+IF(A27&gt;Variables!$B$25,D27,0)</f>
        <v/>
      </c>
      <c r="F27" s="12">
        <f>C27+D27</f>
        <v/>
      </c>
      <c r="G27" s="11">
        <f>IF(A27&gt;Variables!$B$22,Variables!$B$12,0)</f>
        <v/>
      </c>
      <c r="H27" s="11">
        <f>IF(AND(A27&gt;Variables!$B$22,Variables!$B$14="Yes"),Variables!$B$13,0)</f>
        <v/>
      </c>
      <c r="I27" s="11">
        <f>IF(AA27&gt;Variables!$B$18,0,IF(AA27&gt;Variables!$B$19,CEILING((AA27-Variables!$B$19)/Variables!$B$21,1)*Variables!$B$20,0))</f>
        <v/>
      </c>
      <c r="J27" s="11">
        <f>IF(AA27&lt;=Variables!$B$18,MIN(Variables!$B$9-Variables!$B$8+I27,Variables!$B$26),0)</f>
        <v/>
      </c>
      <c r="K27" s="11">
        <f>IF(AA27&lt;=Variables!$B$18,Variables!$B$27,0)</f>
        <v/>
      </c>
      <c r="L27" s="11">
        <f>IF(AA27&gt;Variables!$B$18,G27+H27,Variables!$B$26-J27)</f>
        <v/>
      </c>
      <c r="M27" s="11">
        <f>IF(AA27&gt;Variables!$B$18,Variables!$B$2-G27-H27,J27+K27)</f>
        <v/>
      </c>
      <c r="N27" s="11">
        <f>Variables!$B$9-AC27</f>
        <v/>
      </c>
      <c r="O27" s="12">
        <f>F27+N27</f>
        <v/>
      </c>
      <c r="P27" s="12">
        <f>MAX(0,C27+N27)</f>
        <v/>
      </c>
      <c r="Q27" s="12">
        <f>D27+MIN(0,C27+N27)</f>
        <v/>
      </c>
      <c r="R27">
        <f>IF(AA27&gt;Variables!$B$18,"Self-funder",IF(AA27&gt;Variables!$B$19,"Tariff band - council contributing","Council pays standard rate"))</f>
        <v/>
      </c>
      <c r="S27" s="12">
        <f>Variables!$B$18</f>
        <v/>
      </c>
      <c r="T27" s="12">
        <f>Variables!$B$19</f>
        <v/>
      </c>
      <c r="U27">
        <f>AA27&lt;=Variables!$B$18</f>
        <v/>
      </c>
      <c r="V27">
        <f>AA27&lt;=Variables!$B$19</f>
        <v/>
      </c>
      <c r="W27">
        <f>P27&lt;=0</f>
        <v/>
      </c>
      <c r="X27" s="12">
        <f>Variables!$B$28</f>
        <v/>
      </c>
      <c r="Y27">
        <f>AB27&lt;=Variables!$B$28</f>
        <v/>
      </c>
      <c r="Z27">
        <f>AB27&lt;=Variables!$B$18</f>
        <v/>
      </c>
      <c r="AA27" s="12">
        <f>AB26</f>
        <v/>
      </c>
      <c r="AB27" s="12">
        <f>AA27+Variables!$B$9-M27</f>
        <v/>
      </c>
      <c r="AC27" s="11">
        <f>IF(MOD(A27-1,Variables!$B$30)=0,Variables!$B$30*M27,0)</f>
        <v/>
      </c>
      <c r="AD27" s="12">
        <f>IF(A27=MATCH(TRUE,$Y$2:$Y$261,0),MAX($AB$2:$AB$261),IF(A27=MATCH(TRUE,$Y$2:$Y$261,0)-1,0,NA()))</f>
        <v/>
      </c>
      <c r="AE27" s="12">
        <f>IF(A27=MATCH(TRUE,$Z$2:$Z$261,0),MAX($AB$2:$AB$261),IF(A27=MATCH(TRUE,$Z$2:$Z$261,0)-1,0,NA()))</f>
        <v/>
      </c>
    </row>
    <row r="28">
      <c r="A28" t="n">
        <v>27</v>
      </c>
      <c r="B28" s="14">
        <f>Variables!$B$24+(A28-1)*7</f>
        <v/>
      </c>
      <c r="C28" s="12">
        <f>P27</f>
        <v/>
      </c>
      <c r="D28" s="12">
        <f>Q27</f>
        <v/>
      </c>
      <c r="E28" s="12">
        <f>C28+IF(A28&gt;Variables!$B$25,D28,0)</f>
        <v/>
      </c>
      <c r="F28" s="12">
        <f>C28+D28</f>
        <v/>
      </c>
      <c r="G28" s="11">
        <f>IF(A28&gt;Variables!$B$22,Variables!$B$12,0)</f>
        <v/>
      </c>
      <c r="H28" s="11">
        <f>IF(AND(A28&gt;Variables!$B$22,Variables!$B$14="Yes"),Variables!$B$13,0)</f>
        <v/>
      </c>
      <c r="I28" s="11">
        <f>IF(AA28&gt;Variables!$B$18,0,IF(AA28&gt;Variables!$B$19,CEILING((AA28-Variables!$B$19)/Variables!$B$21,1)*Variables!$B$20,0))</f>
        <v/>
      </c>
      <c r="J28" s="11">
        <f>IF(AA28&lt;=Variables!$B$18,MIN(Variables!$B$9-Variables!$B$8+I28,Variables!$B$26),0)</f>
        <v/>
      </c>
      <c r="K28" s="11">
        <f>IF(AA28&lt;=Variables!$B$18,Variables!$B$27,0)</f>
        <v/>
      </c>
      <c r="L28" s="11">
        <f>IF(AA28&gt;Variables!$B$18,G28+H28,Variables!$B$26-J28)</f>
        <v/>
      </c>
      <c r="M28" s="11">
        <f>IF(AA28&gt;Variables!$B$18,Variables!$B$2-G28-H28,J28+K28)</f>
        <v/>
      </c>
      <c r="N28" s="11">
        <f>Variables!$B$9-AC28</f>
        <v/>
      </c>
      <c r="O28" s="12">
        <f>F28+N28</f>
        <v/>
      </c>
      <c r="P28" s="12">
        <f>MAX(0,C28+N28)</f>
        <v/>
      </c>
      <c r="Q28" s="12">
        <f>D28+MIN(0,C28+N28)</f>
        <v/>
      </c>
      <c r="R28">
        <f>IF(AA28&gt;Variables!$B$18,"Self-funder",IF(AA28&gt;Variables!$B$19,"Tariff band - council contributing","Council pays standard rate"))</f>
        <v/>
      </c>
      <c r="S28" s="12">
        <f>Variables!$B$18</f>
        <v/>
      </c>
      <c r="T28" s="12">
        <f>Variables!$B$19</f>
        <v/>
      </c>
      <c r="U28">
        <f>AA28&lt;=Variables!$B$18</f>
        <v/>
      </c>
      <c r="V28">
        <f>AA28&lt;=Variables!$B$19</f>
        <v/>
      </c>
      <c r="W28">
        <f>P28&lt;=0</f>
        <v/>
      </c>
      <c r="X28" s="12">
        <f>Variables!$B$28</f>
        <v/>
      </c>
      <c r="Y28">
        <f>AB28&lt;=Variables!$B$28</f>
        <v/>
      </c>
      <c r="Z28">
        <f>AB28&lt;=Variables!$B$18</f>
        <v/>
      </c>
      <c r="AA28" s="12">
        <f>AB27</f>
        <v/>
      </c>
      <c r="AB28" s="12">
        <f>AA28+Variables!$B$9-M28</f>
        <v/>
      </c>
      <c r="AC28" s="11">
        <f>IF(MOD(A28-1,Variables!$B$30)=0,Variables!$B$30*M28,0)</f>
        <v/>
      </c>
      <c r="AD28" s="12">
        <f>IF(A28=MATCH(TRUE,$Y$2:$Y$261,0),MAX($AB$2:$AB$261),IF(A28=MATCH(TRUE,$Y$2:$Y$261,0)-1,0,NA()))</f>
        <v/>
      </c>
      <c r="AE28" s="12">
        <f>IF(A28=MATCH(TRUE,$Z$2:$Z$261,0),MAX($AB$2:$AB$261),IF(A28=MATCH(TRUE,$Z$2:$Z$261,0)-1,0,NA()))</f>
        <v/>
      </c>
    </row>
    <row r="29">
      <c r="A29" t="n">
        <v>28</v>
      </c>
      <c r="B29" s="14">
        <f>Variables!$B$24+(A29-1)*7</f>
        <v/>
      </c>
      <c r="C29" s="12">
        <f>P28</f>
        <v/>
      </c>
      <c r="D29" s="12">
        <f>Q28</f>
        <v/>
      </c>
      <c r="E29" s="12">
        <f>C29+IF(A29&gt;Variables!$B$25,D29,0)</f>
        <v/>
      </c>
      <c r="F29" s="12">
        <f>C29+D29</f>
        <v/>
      </c>
      <c r="G29" s="11">
        <f>IF(A29&gt;Variables!$B$22,Variables!$B$12,0)</f>
        <v/>
      </c>
      <c r="H29" s="11">
        <f>IF(AND(A29&gt;Variables!$B$22,Variables!$B$14="Yes"),Variables!$B$13,0)</f>
        <v/>
      </c>
      <c r="I29" s="11">
        <f>IF(AA29&gt;Variables!$B$18,0,IF(AA29&gt;Variables!$B$19,CEILING((AA29-Variables!$B$19)/Variables!$B$21,1)*Variables!$B$20,0))</f>
        <v/>
      </c>
      <c r="J29" s="11">
        <f>IF(AA29&lt;=Variables!$B$18,MIN(Variables!$B$9-Variables!$B$8+I29,Variables!$B$26),0)</f>
        <v/>
      </c>
      <c r="K29" s="11">
        <f>IF(AA29&lt;=Variables!$B$18,Variables!$B$27,0)</f>
        <v/>
      </c>
      <c r="L29" s="11">
        <f>IF(AA29&gt;Variables!$B$18,G29+H29,Variables!$B$26-J29)</f>
        <v/>
      </c>
      <c r="M29" s="11">
        <f>IF(AA29&gt;Variables!$B$18,Variables!$B$2-G29-H29,J29+K29)</f>
        <v/>
      </c>
      <c r="N29" s="11">
        <f>Variables!$B$9-AC29</f>
        <v/>
      </c>
      <c r="O29" s="12">
        <f>F29+N29</f>
        <v/>
      </c>
      <c r="P29" s="12">
        <f>MAX(0,C29+N29)</f>
        <v/>
      </c>
      <c r="Q29" s="12">
        <f>D29+MIN(0,C29+N29)</f>
        <v/>
      </c>
      <c r="R29">
        <f>IF(AA29&gt;Variables!$B$18,"Self-funder",IF(AA29&gt;Variables!$B$19,"Tariff band - council contributing","Council pays standard rate"))</f>
        <v/>
      </c>
      <c r="S29" s="12">
        <f>Variables!$B$18</f>
        <v/>
      </c>
      <c r="T29" s="12">
        <f>Variables!$B$19</f>
        <v/>
      </c>
      <c r="U29">
        <f>AA29&lt;=Variables!$B$18</f>
        <v/>
      </c>
      <c r="V29">
        <f>AA29&lt;=Variables!$B$19</f>
        <v/>
      </c>
      <c r="W29">
        <f>P29&lt;=0</f>
        <v/>
      </c>
      <c r="X29" s="12">
        <f>Variables!$B$28</f>
        <v/>
      </c>
      <c r="Y29">
        <f>AB29&lt;=Variables!$B$28</f>
        <v/>
      </c>
      <c r="Z29">
        <f>AB29&lt;=Variables!$B$18</f>
        <v/>
      </c>
      <c r="AA29" s="12">
        <f>AB28</f>
        <v/>
      </c>
      <c r="AB29" s="12">
        <f>AA29+Variables!$B$9-M29</f>
        <v/>
      </c>
      <c r="AC29" s="11">
        <f>IF(MOD(A29-1,Variables!$B$30)=0,Variables!$B$30*M29,0)</f>
        <v/>
      </c>
      <c r="AD29" s="12">
        <f>IF(A29=MATCH(TRUE,$Y$2:$Y$261,0),MAX($AB$2:$AB$261),IF(A29=MATCH(TRUE,$Y$2:$Y$261,0)-1,0,NA()))</f>
        <v/>
      </c>
      <c r="AE29" s="12">
        <f>IF(A29=MATCH(TRUE,$Z$2:$Z$261,0),MAX($AB$2:$AB$261),IF(A29=MATCH(TRUE,$Z$2:$Z$261,0)-1,0,NA()))</f>
        <v/>
      </c>
    </row>
    <row r="30">
      <c r="A30" t="n">
        <v>29</v>
      </c>
      <c r="B30" s="14">
        <f>Variables!$B$24+(A30-1)*7</f>
        <v/>
      </c>
      <c r="C30" s="12">
        <f>P29</f>
        <v/>
      </c>
      <c r="D30" s="12">
        <f>Q29</f>
        <v/>
      </c>
      <c r="E30" s="12">
        <f>C30+IF(A30&gt;Variables!$B$25,D30,0)</f>
        <v/>
      </c>
      <c r="F30" s="12">
        <f>C30+D30</f>
        <v/>
      </c>
      <c r="G30" s="11">
        <f>IF(A30&gt;Variables!$B$22,Variables!$B$12,0)</f>
        <v/>
      </c>
      <c r="H30" s="11">
        <f>IF(AND(A30&gt;Variables!$B$22,Variables!$B$14="Yes"),Variables!$B$13,0)</f>
        <v/>
      </c>
      <c r="I30" s="11">
        <f>IF(AA30&gt;Variables!$B$18,0,IF(AA30&gt;Variables!$B$19,CEILING((AA30-Variables!$B$19)/Variables!$B$21,1)*Variables!$B$20,0))</f>
        <v/>
      </c>
      <c r="J30" s="11">
        <f>IF(AA30&lt;=Variables!$B$18,MIN(Variables!$B$9-Variables!$B$8+I30,Variables!$B$26),0)</f>
        <v/>
      </c>
      <c r="K30" s="11">
        <f>IF(AA30&lt;=Variables!$B$18,Variables!$B$27,0)</f>
        <v/>
      </c>
      <c r="L30" s="11">
        <f>IF(AA30&gt;Variables!$B$18,G30+H30,Variables!$B$26-J30)</f>
        <v/>
      </c>
      <c r="M30" s="11">
        <f>IF(AA30&gt;Variables!$B$18,Variables!$B$2-G30-H30,J30+K30)</f>
        <v/>
      </c>
      <c r="N30" s="11">
        <f>Variables!$B$9-AC30</f>
        <v/>
      </c>
      <c r="O30" s="12">
        <f>F30+N30</f>
        <v/>
      </c>
      <c r="P30" s="12">
        <f>MAX(0,C30+N30)</f>
        <v/>
      </c>
      <c r="Q30" s="12">
        <f>D30+MIN(0,C30+N30)</f>
        <v/>
      </c>
      <c r="R30">
        <f>IF(AA30&gt;Variables!$B$18,"Self-funder",IF(AA30&gt;Variables!$B$19,"Tariff band - council contributing","Council pays standard rate"))</f>
        <v/>
      </c>
      <c r="S30" s="12">
        <f>Variables!$B$18</f>
        <v/>
      </c>
      <c r="T30" s="12">
        <f>Variables!$B$19</f>
        <v/>
      </c>
      <c r="U30">
        <f>AA30&lt;=Variables!$B$18</f>
        <v/>
      </c>
      <c r="V30">
        <f>AA30&lt;=Variables!$B$19</f>
        <v/>
      </c>
      <c r="W30">
        <f>P30&lt;=0</f>
        <v/>
      </c>
      <c r="X30" s="12">
        <f>Variables!$B$28</f>
        <v/>
      </c>
      <c r="Y30">
        <f>AB30&lt;=Variables!$B$28</f>
        <v/>
      </c>
      <c r="Z30">
        <f>AB30&lt;=Variables!$B$18</f>
        <v/>
      </c>
      <c r="AA30" s="12">
        <f>AB29</f>
        <v/>
      </c>
      <c r="AB30" s="12">
        <f>AA30+Variables!$B$9-M30</f>
        <v/>
      </c>
      <c r="AC30" s="11">
        <f>IF(MOD(A30-1,Variables!$B$30)=0,Variables!$B$30*M30,0)</f>
        <v/>
      </c>
      <c r="AD30" s="12">
        <f>IF(A30=MATCH(TRUE,$Y$2:$Y$261,0),MAX($AB$2:$AB$261),IF(A30=MATCH(TRUE,$Y$2:$Y$261,0)-1,0,NA()))</f>
        <v/>
      </c>
      <c r="AE30" s="12">
        <f>IF(A30=MATCH(TRUE,$Z$2:$Z$261,0),MAX($AB$2:$AB$261),IF(A30=MATCH(TRUE,$Z$2:$Z$261,0)-1,0,NA()))</f>
        <v/>
      </c>
    </row>
    <row r="31">
      <c r="A31" t="n">
        <v>30</v>
      </c>
      <c r="B31" s="14">
        <f>Variables!$B$24+(A31-1)*7</f>
        <v/>
      </c>
      <c r="C31" s="12">
        <f>P30</f>
        <v/>
      </c>
      <c r="D31" s="12">
        <f>Q30</f>
        <v/>
      </c>
      <c r="E31" s="12">
        <f>C31+IF(A31&gt;Variables!$B$25,D31,0)</f>
        <v/>
      </c>
      <c r="F31" s="12">
        <f>C31+D31</f>
        <v/>
      </c>
      <c r="G31" s="11">
        <f>IF(A31&gt;Variables!$B$22,Variables!$B$12,0)</f>
        <v/>
      </c>
      <c r="H31" s="11">
        <f>IF(AND(A31&gt;Variables!$B$22,Variables!$B$14="Yes"),Variables!$B$13,0)</f>
        <v/>
      </c>
      <c r="I31" s="11">
        <f>IF(AA31&gt;Variables!$B$18,0,IF(AA31&gt;Variables!$B$19,CEILING((AA31-Variables!$B$19)/Variables!$B$21,1)*Variables!$B$20,0))</f>
        <v/>
      </c>
      <c r="J31" s="11">
        <f>IF(AA31&lt;=Variables!$B$18,MIN(Variables!$B$9-Variables!$B$8+I31,Variables!$B$26),0)</f>
        <v/>
      </c>
      <c r="K31" s="11">
        <f>IF(AA31&lt;=Variables!$B$18,Variables!$B$27,0)</f>
        <v/>
      </c>
      <c r="L31" s="11">
        <f>IF(AA31&gt;Variables!$B$18,G31+H31,Variables!$B$26-J31)</f>
        <v/>
      </c>
      <c r="M31" s="11">
        <f>IF(AA31&gt;Variables!$B$18,Variables!$B$2-G31-H31,J31+K31)</f>
        <v/>
      </c>
      <c r="N31" s="11">
        <f>Variables!$B$9-AC31</f>
        <v/>
      </c>
      <c r="O31" s="12">
        <f>F31+N31</f>
        <v/>
      </c>
      <c r="P31" s="12">
        <f>MAX(0,C31+N31)</f>
        <v/>
      </c>
      <c r="Q31" s="12">
        <f>D31+MIN(0,C31+N31)</f>
        <v/>
      </c>
      <c r="R31">
        <f>IF(AA31&gt;Variables!$B$18,"Self-funder",IF(AA31&gt;Variables!$B$19,"Tariff band - council contributing","Council pays standard rate"))</f>
        <v/>
      </c>
      <c r="S31" s="12">
        <f>Variables!$B$18</f>
        <v/>
      </c>
      <c r="T31" s="12">
        <f>Variables!$B$19</f>
        <v/>
      </c>
      <c r="U31">
        <f>AA31&lt;=Variables!$B$18</f>
        <v/>
      </c>
      <c r="V31">
        <f>AA31&lt;=Variables!$B$19</f>
        <v/>
      </c>
      <c r="W31">
        <f>P31&lt;=0</f>
        <v/>
      </c>
      <c r="X31" s="12">
        <f>Variables!$B$28</f>
        <v/>
      </c>
      <c r="Y31">
        <f>AB31&lt;=Variables!$B$28</f>
        <v/>
      </c>
      <c r="Z31">
        <f>AB31&lt;=Variables!$B$18</f>
        <v/>
      </c>
      <c r="AA31" s="12">
        <f>AB30</f>
        <v/>
      </c>
      <c r="AB31" s="12">
        <f>AA31+Variables!$B$9-M31</f>
        <v/>
      </c>
      <c r="AC31" s="11">
        <f>IF(MOD(A31-1,Variables!$B$30)=0,Variables!$B$30*M31,0)</f>
        <v/>
      </c>
      <c r="AD31" s="12">
        <f>IF(A31=MATCH(TRUE,$Y$2:$Y$261,0),MAX($AB$2:$AB$261),IF(A31=MATCH(TRUE,$Y$2:$Y$261,0)-1,0,NA()))</f>
        <v/>
      </c>
      <c r="AE31" s="12">
        <f>IF(A31=MATCH(TRUE,$Z$2:$Z$261,0),MAX($AB$2:$AB$261),IF(A31=MATCH(TRUE,$Z$2:$Z$261,0)-1,0,NA()))</f>
        <v/>
      </c>
    </row>
    <row r="32">
      <c r="A32" t="n">
        <v>31</v>
      </c>
      <c r="B32" s="14">
        <f>Variables!$B$24+(A32-1)*7</f>
        <v/>
      </c>
      <c r="C32" s="12">
        <f>P31</f>
        <v/>
      </c>
      <c r="D32" s="12">
        <f>Q31</f>
        <v/>
      </c>
      <c r="E32" s="12">
        <f>C32+IF(A32&gt;Variables!$B$25,D32,0)</f>
        <v/>
      </c>
      <c r="F32" s="12">
        <f>C32+D32</f>
        <v/>
      </c>
      <c r="G32" s="11">
        <f>IF(A32&gt;Variables!$B$22,Variables!$B$12,0)</f>
        <v/>
      </c>
      <c r="H32" s="11">
        <f>IF(AND(A32&gt;Variables!$B$22,Variables!$B$14="Yes"),Variables!$B$13,0)</f>
        <v/>
      </c>
      <c r="I32" s="11">
        <f>IF(AA32&gt;Variables!$B$18,0,IF(AA32&gt;Variables!$B$19,CEILING((AA32-Variables!$B$19)/Variables!$B$21,1)*Variables!$B$20,0))</f>
        <v/>
      </c>
      <c r="J32" s="11">
        <f>IF(AA32&lt;=Variables!$B$18,MIN(Variables!$B$9-Variables!$B$8+I32,Variables!$B$26),0)</f>
        <v/>
      </c>
      <c r="K32" s="11">
        <f>IF(AA32&lt;=Variables!$B$18,Variables!$B$27,0)</f>
        <v/>
      </c>
      <c r="L32" s="11">
        <f>IF(AA32&gt;Variables!$B$18,G32+H32,Variables!$B$26-J32)</f>
        <v/>
      </c>
      <c r="M32" s="11">
        <f>IF(AA32&gt;Variables!$B$18,Variables!$B$2-G32-H32,J32+K32)</f>
        <v/>
      </c>
      <c r="N32" s="11">
        <f>Variables!$B$9-AC32</f>
        <v/>
      </c>
      <c r="O32" s="12">
        <f>F32+N32</f>
        <v/>
      </c>
      <c r="P32" s="12">
        <f>MAX(0,C32+N32)</f>
        <v/>
      </c>
      <c r="Q32" s="12">
        <f>D32+MIN(0,C32+N32)</f>
        <v/>
      </c>
      <c r="R32">
        <f>IF(AA32&gt;Variables!$B$18,"Self-funder",IF(AA32&gt;Variables!$B$19,"Tariff band - council contributing","Council pays standard rate"))</f>
        <v/>
      </c>
      <c r="S32" s="12">
        <f>Variables!$B$18</f>
        <v/>
      </c>
      <c r="T32" s="12">
        <f>Variables!$B$19</f>
        <v/>
      </c>
      <c r="U32">
        <f>AA32&lt;=Variables!$B$18</f>
        <v/>
      </c>
      <c r="V32">
        <f>AA32&lt;=Variables!$B$19</f>
        <v/>
      </c>
      <c r="W32">
        <f>P32&lt;=0</f>
        <v/>
      </c>
      <c r="X32" s="12">
        <f>Variables!$B$28</f>
        <v/>
      </c>
      <c r="Y32">
        <f>AB32&lt;=Variables!$B$28</f>
        <v/>
      </c>
      <c r="Z32">
        <f>AB32&lt;=Variables!$B$18</f>
        <v/>
      </c>
      <c r="AA32" s="12">
        <f>AB31</f>
        <v/>
      </c>
      <c r="AB32" s="12">
        <f>AA32+Variables!$B$9-M32</f>
        <v/>
      </c>
      <c r="AC32" s="11">
        <f>IF(MOD(A32-1,Variables!$B$30)=0,Variables!$B$30*M32,0)</f>
        <v/>
      </c>
      <c r="AD32" s="12">
        <f>IF(A32=MATCH(TRUE,$Y$2:$Y$261,0),MAX($AB$2:$AB$261),IF(A32=MATCH(TRUE,$Y$2:$Y$261,0)-1,0,NA()))</f>
        <v/>
      </c>
      <c r="AE32" s="12">
        <f>IF(A32=MATCH(TRUE,$Z$2:$Z$261,0),MAX($AB$2:$AB$261),IF(A32=MATCH(TRUE,$Z$2:$Z$261,0)-1,0,NA()))</f>
        <v/>
      </c>
    </row>
    <row r="33">
      <c r="A33" t="n">
        <v>32</v>
      </c>
      <c r="B33" s="14">
        <f>Variables!$B$24+(A33-1)*7</f>
        <v/>
      </c>
      <c r="C33" s="12">
        <f>P32</f>
        <v/>
      </c>
      <c r="D33" s="12">
        <f>Q32</f>
        <v/>
      </c>
      <c r="E33" s="12">
        <f>C33+IF(A33&gt;Variables!$B$25,D33,0)</f>
        <v/>
      </c>
      <c r="F33" s="12">
        <f>C33+D33</f>
        <v/>
      </c>
      <c r="G33" s="11">
        <f>IF(A33&gt;Variables!$B$22,Variables!$B$12,0)</f>
        <v/>
      </c>
      <c r="H33" s="11">
        <f>IF(AND(A33&gt;Variables!$B$22,Variables!$B$14="Yes"),Variables!$B$13,0)</f>
        <v/>
      </c>
      <c r="I33" s="11">
        <f>IF(AA33&gt;Variables!$B$18,0,IF(AA33&gt;Variables!$B$19,CEILING((AA33-Variables!$B$19)/Variables!$B$21,1)*Variables!$B$20,0))</f>
        <v/>
      </c>
      <c r="J33" s="11">
        <f>IF(AA33&lt;=Variables!$B$18,MIN(Variables!$B$9-Variables!$B$8+I33,Variables!$B$26),0)</f>
        <v/>
      </c>
      <c r="K33" s="11">
        <f>IF(AA33&lt;=Variables!$B$18,Variables!$B$27,0)</f>
        <v/>
      </c>
      <c r="L33" s="11">
        <f>IF(AA33&gt;Variables!$B$18,G33+H33,Variables!$B$26-J33)</f>
        <v/>
      </c>
      <c r="M33" s="11">
        <f>IF(AA33&gt;Variables!$B$18,Variables!$B$2-G33-H33,J33+K33)</f>
        <v/>
      </c>
      <c r="N33" s="11">
        <f>Variables!$B$9-AC33</f>
        <v/>
      </c>
      <c r="O33" s="12">
        <f>F33+N33</f>
        <v/>
      </c>
      <c r="P33" s="12">
        <f>MAX(0,C33+N33)</f>
        <v/>
      </c>
      <c r="Q33" s="12">
        <f>D33+MIN(0,C33+N33)</f>
        <v/>
      </c>
      <c r="R33">
        <f>IF(AA33&gt;Variables!$B$18,"Self-funder",IF(AA33&gt;Variables!$B$19,"Tariff band - council contributing","Council pays standard rate"))</f>
        <v/>
      </c>
      <c r="S33" s="12">
        <f>Variables!$B$18</f>
        <v/>
      </c>
      <c r="T33" s="12">
        <f>Variables!$B$19</f>
        <v/>
      </c>
      <c r="U33">
        <f>AA33&lt;=Variables!$B$18</f>
        <v/>
      </c>
      <c r="V33">
        <f>AA33&lt;=Variables!$B$19</f>
        <v/>
      </c>
      <c r="W33">
        <f>P33&lt;=0</f>
        <v/>
      </c>
      <c r="X33" s="12">
        <f>Variables!$B$28</f>
        <v/>
      </c>
      <c r="Y33">
        <f>AB33&lt;=Variables!$B$28</f>
        <v/>
      </c>
      <c r="Z33">
        <f>AB33&lt;=Variables!$B$18</f>
        <v/>
      </c>
      <c r="AA33" s="12">
        <f>AB32</f>
        <v/>
      </c>
      <c r="AB33" s="12">
        <f>AA33+Variables!$B$9-M33</f>
        <v/>
      </c>
      <c r="AC33" s="11">
        <f>IF(MOD(A33-1,Variables!$B$30)=0,Variables!$B$30*M33,0)</f>
        <v/>
      </c>
      <c r="AD33" s="12">
        <f>IF(A33=MATCH(TRUE,$Y$2:$Y$261,0),MAX($AB$2:$AB$261),IF(A33=MATCH(TRUE,$Y$2:$Y$261,0)-1,0,NA()))</f>
        <v/>
      </c>
      <c r="AE33" s="12">
        <f>IF(A33=MATCH(TRUE,$Z$2:$Z$261,0),MAX($AB$2:$AB$261),IF(A33=MATCH(TRUE,$Z$2:$Z$261,0)-1,0,NA()))</f>
        <v/>
      </c>
    </row>
    <row r="34">
      <c r="A34" t="n">
        <v>33</v>
      </c>
      <c r="B34" s="14">
        <f>Variables!$B$24+(A34-1)*7</f>
        <v/>
      </c>
      <c r="C34" s="12">
        <f>P33</f>
        <v/>
      </c>
      <c r="D34" s="12">
        <f>Q33</f>
        <v/>
      </c>
      <c r="E34" s="12">
        <f>C34+IF(A34&gt;Variables!$B$25,D34,0)</f>
        <v/>
      </c>
      <c r="F34" s="12">
        <f>C34+D34</f>
        <v/>
      </c>
      <c r="G34" s="11">
        <f>IF(A34&gt;Variables!$B$22,Variables!$B$12,0)</f>
        <v/>
      </c>
      <c r="H34" s="11">
        <f>IF(AND(A34&gt;Variables!$B$22,Variables!$B$14="Yes"),Variables!$B$13,0)</f>
        <v/>
      </c>
      <c r="I34" s="11">
        <f>IF(AA34&gt;Variables!$B$18,0,IF(AA34&gt;Variables!$B$19,CEILING((AA34-Variables!$B$19)/Variables!$B$21,1)*Variables!$B$20,0))</f>
        <v/>
      </c>
      <c r="J34" s="11">
        <f>IF(AA34&lt;=Variables!$B$18,MIN(Variables!$B$9-Variables!$B$8+I34,Variables!$B$26),0)</f>
        <v/>
      </c>
      <c r="K34" s="11">
        <f>IF(AA34&lt;=Variables!$B$18,Variables!$B$27,0)</f>
        <v/>
      </c>
      <c r="L34" s="11">
        <f>IF(AA34&gt;Variables!$B$18,G34+H34,Variables!$B$26-J34)</f>
        <v/>
      </c>
      <c r="M34" s="11">
        <f>IF(AA34&gt;Variables!$B$18,Variables!$B$2-G34-H34,J34+K34)</f>
        <v/>
      </c>
      <c r="N34" s="11">
        <f>Variables!$B$9-AC34</f>
        <v/>
      </c>
      <c r="O34" s="12">
        <f>F34+N34</f>
        <v/>
      </c>
      <c r="P34" s="12">
        <f>MAX(0,C34+N34)</f>
        <v/>
      </c>
      <c r="Q34" s="12">
        <f>D34+MIN(0,C34+N34)</f>
        <v/>
      </c>
      <c r="R34">
        <f>IF(AA34&gt;Variables!$B$18,"Self-funder",IF(AA34&gt;Variables!$B$19,"Tariff band - council contributing","Council pays standard rate"))</f>
        <v/>
      </c>
      <c r="S34" s="12">
        <f>Variables!$B$18</f>
        <v/>
      </c>
      <c r="T34" s="12">
        <f>Variables!$B$19</f>
        <v/>
      </c>
      <c r="U34">
        <f>AA34&lt;=Variables!$B$18</f>
        <v/>
      </c>
      <c r="V34">
        <f>AA34&lt;=Variables!$B$19</f>
        <v/>
      </c>
      <c r="W34">
        <f>P34&lt;=0</f>
        <v/>
      </c>
      <c r="X34" s="12">
        <f>Variables!$B$28</f>
        <v/>
      </c>
      <c r="Y34">
        <f>AB34&lt;=Variables!$B$28</f>
        <v/>
      </c>
      <c r="Z34">
        <f>AB34&lt;=Variables!$B$18</f>
        <v/>
      </c>
      <c r="AA34" s="12">
        <f>AB33</f>
        <v/>
      </c>
      <c r="AB34" s="12">
        <f>AA34+Variables!$B$9-M34</f>
        <v/>
      </c>
      <c r="AC34" s="11">
        <f>IF(MOD(A34-1,Variables!$B$30)=0,Variables!$B$30*M34,0)</f>
        <v/>
      </c>
      <c r="AD34" s="12">
        <f>IF(A34=MATCH(TRUE,$Y$2:$Y$261,0),MAX($AB$2:$AB$261),IF(A34=MATCH(TRUE,$Y$2:$Y$261,0)-1,0,NA()))</f>
        <v/>
      </c>
      <c r="AE34" s="12">
        <f>IF(A34=MATCH(TRUE,$Z$2:$Z$261,0),MAX($AB$2:$AB$261),IF(A34=MATCH(TRUE,$Z$2:$Z$261,0)-1,0,NA()))</f>
        <v/>
      </c>
    </row>
    <row r="35">
      <c r="A35" t="n">
        <v>34</v>
      </c>
      <c r="B35" s="14">
        <f>Variables!$B$24+(A35-1)*7</f>
        <v/>
      </c>
      <c r="C35" s="12">
        <f>P34</f>
        <v/>
      </c>
      <c r="D35" s="12">
        <f>Q34</f>
        <v/>
      </c>
      <c r="E35" s="12">
        <f>C35+IF(A35&gt;Variables!$B$25,D35,0)</f>
        <v/>
      </c>
      <c r="F35" s="12">
        <f>C35+D35</f>
        <v/>
      </c>
      <c r="G35" s="11">
        <f>IF(A35&gt;Variables!$B$22,Variables!$B$12,0)</f>
        <v/>
      </c>
      <c r="H35" s="11">
        <f>IF(AND(A35&gt;Variables!$B$22,Variables!$B$14="Yes"),Variables!$B$13,0)</f>
        <v/>
      </c>
      <c r="I35" s="11">
        <f>IF(AA35&gt;Variables!$B$18,0,IF(AA35&gt;Variables!$B$19,CEILING((AA35-Variables!$B$19)/Variables!$B$21,1)*Variables!$B$20,0))</f>
        <v/>
      </c>
      <c r="J35" s="11">
        <f>IF(AA35&lt;=Variables!$B$18,MIN(Variables!$B$9-Variables!$B$8+I35,Variables!$B$26),0)</f>
        <v/>
      </c>
      <c r="K35" s="11">
        <f>IF(AA35&lt;=Variables!$B$18,Variables!$B$27,0)</f>
        <v/>
      </c>
      <c r="L35" s="11">
        <f>IF(AA35&gt;Variables!$B$18,G35+H35,Variables!$B$26-J35)</f>
        <v/>
      </c>
      <c r="M35" s="11">
        <f>IF(AA35&gt;Variables!$B$18,Variables!$B$2-G35-H35,J35+K35)</f>
        <v/>
      </c>
      <c r="N35" s="11">
        <f>Variables!$B$9-AC35</f>
        <v/>
      </c>
      <c r="O35" s="12">
        <f>F35+N35</f>
        <v/>
      </c>
      <c r="P35" s="12">
        <f>MAX(0,C35+N35)</f>
        <v/>
      </c>
      <c r="Q35" s="12">
        <f>D35+MIN(0,C35+N35)</f>
        <v/>
      </c>
      <c r="R35">
        <f>IF(AA35&gt;Variables!$B$18,"Self-funder",IF(AA35&gt;Variables!$B$19,"Tariff band - council contributing","Council pays standard rate"))</f>
        <v/>
      </c>
      <c r="S35" s="12">
        <f>Variables!$B$18</f>
        <v/>
      </c>
      <c r="T35" s="12">
        <f>Variables!$B$19</f>
        <v/>
      </c>
      <c r="U35">
        <f>AA35&lt;=Variables!$B$18</f>
        <v/>
      </c>
      <c r="V35">
        <f>AA35&lt;=Variables!$B$19</f>
        <v/>
      </c>
      <c r="W35">
        <f>P35&lt;=0</f>
        <v/>
      </c>
      <c r="X35" s="12">
        <f>Variables!$B$28</f>
        <v/>
      </c>
      <c r="Y35">
        <f>AB35&lt;=Variables!$B$28</f>
        <v/>
      </c>
      <c r="Z35">
        <f>AB35&lt;=Variables!$B$18</f>
        <v/>
      </c>
      <c r="AA35" s="12">
        <f>AB34</f>
        <v/>
      </c>
      <c r="AB35" s="12">
        <f>AA35+Variables!$B$9-M35</f>
        <v/>
      </c>
      <c r="AC35" s="11">
        <f>IF(MOD(A35-1,Variables!$B$30)=0,Variables!$B$30*M35,0)</f>
        <v/>
      </c>
      <c r="AD35" s="12">
        <f>IF(A35=MATCH(TRUE,$Y$2:$Y$261,0),MAX($AB$2:$AB$261),IF(A35=MATCH(TRUE,$Y$2:$Y$261,0)-1,0,NA()))</f>
        <v/>
      </c>
      <c r="AE35" s="12">
        <f>IF(A35=MATCH(TRUE,$Z$2:$Z$261,0),MAX($AB$2:$AB$261),IF(A35=MATCH(TRUE,$Z$2:$Z$261,0)-1,0,NA()))</f>
        <v/>
      </c>
    </row>
    <row r="36">
      <c r="A36" t="n">
        <v>35</v>
      </c>
      <c r="B36" s="14">
        <f>Variables!$B$24+(A36-1)*7</f>
        <v/>
      </c>
      <c r="C36" s="12">
        <f>P35</f>
        <v/>
      </c>
      <c r="D36" s="12">
        <f>Q35</f>
        <v/>
      </c>
      <c r="E36" s="12">
        <f>C36+IF(A36&gt;Variables!$B$25,D36,0)</f>
        <v/>
      </c>
      <c r="F36" s="12">
        <f>C36+D36</f>
        <v/>
      </c>
      <c r="G36" s="11">
        <f>IF(A36&gt;Variables!$B$22,Variables!$B$12,0)</f>
        <v/>
      </c>
      <c r="H36" s="11">
        <f>IF(AND(A36&gt;Variables!$B$22,Variables!$B$14="Yes"),Variables!$B$13,0)</f>
        <v/>
      </c>
      <c r="I36" s="11">
        <f>IF(AA36&gt;Variables!$B$18,0,IF(AA36&gt;Variables!$B$19,CEILING((AA36-Variables!$B$19)/Variables!$B$21,1)*Variables!$B$20,0))</f>
        <v/>
      </c>
      <c r="J36" s="11">
        <f>IF(AA36&lt;=Variables!$B$18,MIN(Variables!$B$9-Variables!$B$8+I36,Variables!$B$26),0)</f>
        <v/>
      </c>
      <c r="K36" s="11">
        <f>IF(AA36&lt;=Variables!$B$18,Variables!$B$27,0)</f>
        <v/>
      </c>
      <c r="L36" s="11">
        <f>IF(AA36&gt;Variables!$B$18,G36+H36,Variables!$B$26-J36)</f>
        <v/>
      </c>
      <c r="M36" s="11">
        <f>IF(AA36&gt;Variables!$B$18,Variables!$B$2-G36-H36,J36+K36)</f>
        <v/>
      </c>
      <c r="N36" s="11">
        <f>Variables!$B$9-AC36</f>
        <v/>
      </c>
      <c r="O36" s="12">
        <f>F36+N36</f>
        <v/>
      </c>
      <c r="P36" s="12">
        <f>MAX(0,C36+N36)</f>
        <v/>
      </c>
      <c r="Q36" s="12">
        <f>D36+MIN(0,C36+N36)</f>
        <v/>
      </c>
      <c r="R36">
        <f>IF(AA36&gt;Variables!$B$18,"Self-funder",IF(AA36&gt;Variables!$B$19,"Tariff band - council contributing","Council pays standard rate"))</f>
        <v/>
      </c>
      <c r="S36" s="12">
        <f>Variables!$B$18</f>
        <v/>
      </c>
      <c r="T36" s="12">
        <f>Variables!$B$19</f>
        <v/>
      </c>
      <c r="U36">
        <f>AA36&lt;=Variables!$B$18</f>
        <v/>
      </c>
      <c r="V36">
        <f>AA36&lt;=Variables!$B$19</f>
        <v/>
      </c>
      <c r="W36">
        <f>P36&lt;=0</f>
        <v/>
      </c>
      <c r="X36" s="12">
        <f>Variables!$B$28</f>
        <v/>
      </c>
      <c r="Y36">
        <f>AB36&lt;=Variables!$B$28</f>
        <v/>
      </c>
      <c r="Z36">
        <f>AB36&lt;=Variables!$B$18</f>
        <v/>
      </c>
      <c r="AA36" s="12">
        <f>AB35</f>
        <v/>
      </c>
      <c r="AB36" s="12">
        <f>AA36+Variables!$B$9-M36</f>
        <v/>
      </c>
      <c r="AC36" s="11">
        <f>IF(MOD(A36-1,Variables!$B$30)=0,Variables!$B$30*M36,0)</f>
        <v/>
      </c>
      <c r="AD36" s="12">
        <f>IF(A36=MATCH(TRUE,$Y$2:$Y$261,0),MAX($AB$2:$AB$261),IF(A36=MATCH(TRUE,$Y$2:$Y$261,0)-1,0,NA()))</f>
        <v/>
      </c>
      <c r="AE36" s="12">
        <f>IF(A36=MATCH(TRUE,$Z$2:$Z$261,0),MAX($AB$2:$AB$261),IF(A36=MATCH(TRUE,$Z$2:$Z$261,0)-1,0,NA()))</f>
        <v/>
      </c>
    </row>
    <row r="37">
      <c r="A37" t="n">
        <v>36</v>
      </c>
      <c r="B37" s="14">
        <f>Variables!$B$24+(A37-1)*7</f>
        <v/>
      </c>
      <c r="C37" s="12">
        <f>P36</f>
        <v/>
      </c>
      <c r="D37" s="12">
        <f>Q36</f>
        <v/>
      </c>
      <c r="E37" s="12">
        <f>C37+IF(A37&gt;Variables!$B$25,D37,0)</f>
        <v/>
      </c>
      <c r="F37" s="12">
        <f>C37+D37</f>
        <v/>
      </c>
      <c r="G37" s="11">
        <f>IF(A37&gt;Variables!$B$22,Variables!$B$12,0)</f>
        <v/>
      </c>
      <c r="H37" s="11">
        <f>IF(AND(A37&gt;Variables!$B$22,Variables!$B$14="Yes"),Variables!$B$13,0)</f>
        <v/>
      </c>
      <c r="I37" s="11">
        <f>IF(AA37&gt;Variables!$B$18,0,IF(AA37&gt;Variables!$B$19,CEILING((AA37-Variables!$B$19)/Variables!$B$21,1)*Variables!$B$20,0))</f>
        <v/>
      </c>
      <c r="J37" s="11">
        <f>IF(AA37&lt;=Variables!$B$18,MIN(Variables!$B$9-Variables!$B$8+I37,Variables!$B$26),0)</f>
        <v/>
      </c>
      <c r="K37" s="11">
        <f>IF(AA37&lt;=Variables!$B$18,Variables!$B$27,0)</f>
        <v/>
      </c>
      <c r="L37" s="11">
        <f>IF(AA37&gt;Variables!$B$18,G37+H37,Variables!$B$26-J37)</f>
        <v/>
      </c>
      <c r="M37" s="11">
        <f>IF(AA37&gt;Variables!$B$18,Variables!$B$2-G37-H37,J37+K37)</f>
        <v/>
      </c>
      <c r="N37" s="11">
        <f>Variables!$B$9-AC37</f>
        <v/>
      </c>
      <c r="O37" s="12">
        <f>F37+N37</f>
        <v/>
      </c>
      <c r="P37" s="12">
        <f>MAX(0,C37+N37)</f>
        <v/>
      </c>
      <c r="Q37" s="12">
        <f>D37+MIN(0,C37+N37)</f>
        <v/>
      </c>
      <c r="R37">
        <f>IF(AA37&gt;Variables!$B$18,"Self-funder",IF(AA37&gt;Variables!$B$19,"Tariff band - council contributing","Council pays standard rate"))</f>
        <v/>
      </c>
      <c r="S37" s="12">
        <f>Variables!$B$18</f>
        <v/>
      </c>
      <c r="T37" s="12">
        <f>Variables!$B$19</f>
        <v/>
      </c>
      <c r="U37">
        <f>AA37&lt;=Variables!$B$18</f>
        <v/>
      </c>
      <c r="V37">
        <f>AA37&lt;=Variables!$B$19</f>
        <v/>
      </c>
      <c r="W37">
        <f>P37&lt;=0</f>
        <v/>
      </c>
      <c r="X37" s="12">
        <f>Variables!$B$28</f>
        <v/>
      </c>
      <c r="Y37">
        <f>AB37&lt;=Variables!$B$28</f>
        <v/>
      </c>
      <c r="Z37">
        <f>AB37&lt;=Variables!$B$18</f>
        <v/>
      </c>
      <c r="AA37" s="12">
        <f>AB36</f>
        <v/>
      </c>
      <c r="AB37" s="12">
        <f>AA37+Variables!$B$9-M37</f>
        <v/>
      </c>
      <c r="AC37" s="11">
        <f>IF(MOD(A37-1,Variables!$B$30)=0,Variables!$B$30*M37,0)</f>
        <v/>
      </c>
      <c r="AD37" s="12">
        <f>IF(A37=MATCH(TRUE,$Y$2:$Y$261,0),MAX($AB$2:$AB$261),IF(A37=MATCH(TRUE,$Y$2:$Y$261,0)-1,0,NA()))</f>
        <v/>
      </c>
      <c r="AE37" s="12">
        <f>IF(A37=MATCH(TRUE,$Z$2:$Z$261,0),MAX($AB$2:$AB$261),IF(A37=MATCH(TRUE,$Z$2:$Z$261,0)-1,0,NA()))</f>
        <v/>
      </c>
    </row>
    <row r="38">
      <c r="A38" t="n">
        <v>37</v>
      </c>
      <c r="B38" s="14">
        <f>Variables!$B$24+(A38-1)*7</f>
        <v/>
      </c>
      <c r="C38" s="12">
        <f>P37</f>
        <v/>
      </c>
      <c r="D38" s="12">
        <f>Q37</f>
        <v/>
      </c>
      <c r="E38" s="12">
        <f>C38+IF(A38&gt;Variables!$B$25,D38,0)</f>
        <v/>
      </c>
      <c r="F38" s="12">
        <f>C38+D38</f>
        <v/>
      </c>
      <c r="G38" s="11">
        <f>IF(A38&gt;Variables!$B$22,Variables!$B$12,0)</f>
        <v/>
      </c>
      <c r="H38" s="11">
        <f>IF(AND(A38&gt;Variables!$B$22,Variables!$B$14="Yes"),Variables!$B$13,0)</f>
        <v/>
      </c>
      <c r="I38" s="11">
        <f>IF(AA38&gt;Variables!$B$18,0,IF(AA38&gt;Variables!$B$19,CEILING((AA38-Variables!$B$19)/Variables!$B$21,1)*Variables!$B$20,0))</f>
        <v/>
      </c>
      <c r="J38" s="11">
        <f>IF(AA38&lt;=Variables!$B$18,MIN(Variables!$B$9-Variables!$B$8+I38,Variables!$B$26),0)</f>
        <v/>
      </c>
      <c r="K38" s="11">
        <f>IF(AA38&lt;=Variables!$B$18,Variables!$B$27,0)</f>
        <v/>
      </c>
      <c r="L38" s="11">
        <f>IF(AA38&gt;Variables!$B$18,G38+H38,Variables!$B$26-J38)</f>
        <v/>
      </c>
      <c r="M38" s="11">
        <f>IF(AA38&gt;Variables!$B$18,Variables!$B$2-G38-H38,J38+K38)</f>
        <v/>
      </c>
      <c r="N38" s="11">
        <f>Variables!$B$9-AC38</f>
        <v/>
      </c>
      <c r="O38" s="12">
        <f>F38+N38</f>
        <v/>
      </c>
      <c r="P38" s="12">
        <f>MAX(0,C38+N38)</f>
        <v/>
      </c>
      <c r="Q38" s="12">
        <f>D38+MIN(0,C38+N38)</f>
        <v/>
      </c>
      <c r="R38">
        <f>IF(AA38&gt;Variables!$B$18,"Self-funder",IF(AA38&gt;Variables!$B$19,"Tariff band - council contributing","Council pays standard rate"))</f>
        <v/>
      </c>
      <c r="S38" s="12">
        <f>Variables!$B$18</f>
        <v/>
      </c>
      <c r="T38" s="12">
        <f>Variables!$B$19</f>
        <v/>
      </c>
      <c r="U38">
        <f>AA38&lt;=Variables!$B$18</f>
        <v/>
      </c>
      <c r="V38">
        <f>AA38&lt;=Variables!$B$19</f>
        <v/>
      </c>
      <c r="W38">
        <f>P38&lt;=0</f>
        <v/>
      </c>
      <c r="X38" s="12">
        <f>Variables!$B$28</f>
        <v/>
      </c>
      <c r="Y38">
        <f>AB38&lt;=Variables!$B$28</f>
        <v/>
      </c>
      <c r="Z38">
        <f>AB38&lt;=Variables!$B$18</f>
        <v/>
      </c>
      <c r="AA38" s="12">
        <f>AB37</f>
        <v/>
      </c>
      <c r="AB38" s="12">
        <f>AA38+Variables!$B$9-M38</f>
        <v/>
      </c>
      <c r="AC38" s="11">
        <f>IF(MOD(A38-1,Variables!$B$30)=0,Variables!$B$30*M38,0)</f>
        <v/>
      </c>
      <c r="AD38" s="12">
        <f>IF(A38=MATCH(TRUE,$Y$2:$Y$261,0),MAX($AB$2:$AB$261),IF(A38=MATCH(TRUE,$Y$2:$Y$261,0)-1,0,NA()))</f>
        <v/>
      </c>
      <c r="AE38" s="12">
        <f>IF(A38=MATCH(TRUE,$Z$2:$Z$261,0),MAX($AB$2:$AB$261),IF(A38=MATCH(TRUE,$Z$2:$Z$261,0)-1,0,NA()))</f>
        <v/>
      </c>
    </row>
    <row r="39">
      <c r="A39" t="n">
        <v>38</v>
      </c>
      <c r="B39" s="14">
        <f>Variables!$B$24+(A39-1)*7</f>
        <v/>
      </c>
      <c r="C39" s="12">
        <f>P38</f>
        <v/>
      </c>
      <c r="D39" s="12">
        <f>Q38</f>
        <v/>
      </c>
      <c r="E39" s="12">
        <f>C39+IF(A39&gt;Variables!$B$25,D39,0)</f>
        <v/>
      </c>
      <c r="F39" s="12">
        <f>C39+D39</f>
        <v/>
      </c>
      <c r="G39" s="11">
        <f>IF(A39&gt;Variables!$B$22,Variables!$B$12,0)</f>
        <v/>
      </c>
      <c r="H39" s="11">
        <f>IF(AND(A39&gt;Variables!$B$22,Variables!$B$14="Yes"),Variables!$B$13,0)</f>
        <v/>
      </c>
      <c r="I39" s="11">
        <f>IF(AA39&gt;Variables!$B$18,0,IF(AA39&gt;Variables!$B$19,CEILING((AA39-Variables!$B$19)/Variables!$B$21,1)*Variables!$B$20,0))</f>
        <v/>
      </c>
      <c r="J39" s="11">
        <f>IF(AA39&lt;=Variables!$B$18,MIN(Variables!$B$9-Variables!$B$8+I39,Variables!$B$26),0)</f>
        <v/>
      </c>
      <c r="K39" s="11">
        <f>IF(AA39&lt;=Variables!$B$18,Variables!$B$27,0)</f>
        <v/>
      </c>
      <c r="L39" s="11">
        <f>IF(AA39&gt;Variables!$B$18,G39+H39,Variables!$B$26-J39)</f>
        <v/>
      </c>
      <c r="M39" s="11">
        <f>IF(AA39&gt;Variables!$B$18,Variables!$B$2-G39-H39,J39+K39)</f>
        <v/>
      </c>
      <c r="N39" s="11">
        <f>Variables!$B$9-AC39</f>
        <v/>
      </c>
      <c r="O39" s="12">
        <f>F39+N39</f>
        <v/>
      </c>
      <c r="P39" s="12">
        <f>MAX(0,C39+N39)</f>
        <v/>
      </c>
      <c r="Q39" s="12">
        <f>D39+MIN(0,C39+N39)</f>
        <v/>
      </c>
      <c r="R39">
        <f>IF(AA39&gt;Variables!$B$18,"Self-funder",IF(AA39&gt;Variables!$B$19,"Tariff band - council contributing","Council pays standard rate"))</f>
        <v/>
      </c>
      <c r="S39" s="12">
        <f>Variables!$B$18</f>
        <v/>
      </c>
      <c r="T39" s="12">
        <f>Variables!$B$19</f>
        <v/>
      </c>
      <c r="U39">
        <f>AA39&lt;=Variables!$B$18</f>
        <v/>
      </c>
      <c r="V39">
        <f>AA39&lt;=Variables!$B$19</f>
        <v/>
      </c>
      <c r="W39">
        <f>P39&lt;=0</f>
        <v/>
      </c>
      <c r="X39" s="12">
        <f>Variables!$B$28</f>
        <v/>
      </c>
      <c r="Y39">
        <f>AB39&lt;=Variables!$B$28</f>
        <v/>
      </c>
      <c r="Z39">
        <f>AB39&lt;=Variables!$B$18</f>
        <v/>
      </c>
      <c r="AA39" s="12">
        <f>AB38</f>
        <v/>
      </c>
      <c r="AB39" s="12">
        <f>AA39+Variables!$B$9-M39</f>
        <v/>
      </c>
      <c r="AC39" s="11">
        <f>IF(MOD(A39-1,Variables!$B$30)=0,Variables!$B$30*M39,0)</f>
        <v/>
      </c>
      <c r="AD39" s="12">
        <f>IF(A39=MATCH(TRUE,$Y$2:$Y$261,0),MAX($AB$2:$AB$261),IF(A39=MATCH(TRUE,$Y$2:$Y$261,0)-1,0,NA()))</f>
        <v/>
      </c>
      <c r="AE39" s="12">
        <f>IF(A39=MATCH(TRUE,$Z$2:$Z$261,0),MAX($AB$2:$AB$261),IF(A39=MATCH(TRUE,$Z$2:$Z$261,0)-1,0,NA()))</f>
        <v/>
      </c>
    </row>
    <row r="40">
      <c r="A40" t="n">
        <v>39</v>
      </c>
      <c r="B40" s="14">
        <f>Variables!$B$24+(A40-1)*7</f>
        <v/>
      </c>
      <c r="C40" s="12">
        <f>P39</f>
        <v/>
      </c>
      <c r="D40" s="12">
        <f>Q39</f>
        <v/>
      </c>
      <c r="E40" s="12">
        <f>C40+IF(A40&gt;Variables!$B$25,D40,0)</f>
        <v/>
      </c>
      <c r="F40" s="12">
        <f>C40+D40</f>
        <v/>
      </c>
      <c r="G40" s="11">
        <f>IF(A40&gt;Variables!$B$22,Variables!$B$12,0)</f>
        <v/>
      </c>
      <c r="H40" s="11">
        <f>IF(AND(A40&gt;Variables!$B$22,Variables!$B$14="Yes"),Variables!$B$13,0)</f>
        <v/>
      </c>
      <c r="I40" s="11">
        <f>IF(AA40&gt;Variables!$B$18,0,IF(AA40&gt;Variables!$B$19,CEILING((AA40-Variables!$B$19)/Variables!$B$21,1)*Variables!$B$20,0))</f>
        <v/>
      </c>
      <c r="J40" s="11">
        <f>IF(AA40&lt;=Variables!$B$18,MIN(Variables!$B$9-Variables!$B$8+I40,Variables!$B$26),0)</f>
        <v/>
      </c>
      <c r="K40" s="11">
        <f>IF(AA40&lt;=Variables!$B$18,Variables!$B$27,0)</f>
        <v/>
      </c>
      <c r="L40" s="11">
        <f>IF(AA40&gt;Variables!$B$18,G40+H40,Variables!$B$26-J40)</f>
        <v/>
      </c>
      <c r="M40" s="11">
        <f>IF(AA40&gt;Variables!$B$18,Variables!$B$2-G40-H40,J40+K40)</f>
        <v/>
      </c>
      <c r="N40" s="11">
        <f>Variables!$B$9-AC40</f>
        <v/>
      </c>
      <c r="O40" s="12">
        <f>F40+N40</f>
        <v/>
      </c>
      <c r="P40" s="12">
        <f>MAX(0,C40+N40)</f>
        <v/>
      </c>
      <c r="Q40" s="12">
        <f>D40+MIN(0,C40+N40)</f>
        <v/>
      </c>
      <c r="R40">
        <f>IF(AA40&gt;Variables!$B$18,"Self-funder",IF(AA40&gt;Variables!$B$19,"Tariff band - council contributing","Council pays standard rate"))</f>
        <v/>
      </c>
      <c r="S40" s="12">
        <f>Variables!$B$18</f>
        <v/>
      </c>
      <c r="T40" s="12">
        <f>Variables!$B$19</f>
        <v/>
      </c>
      <c r="U40">
        <f>AA40&lt;=Variables!$B$18</f>
        <v/>
      </c>
      <c r="V40">
        <f>AA40&lt;=Variables!$B$19</f>
        <v/>
      </c>
      <c r="W40">
        <f>P40&lt;=0</f>
        <v/>
      </c>
      <c r="X40" s="12">
        <f>Variables!$B$28</f>
        <v/>
      </c>
      <c r="Y40">
        <f>AB40&lt;=Variables!$B$28</f>
        <v/>
      </c>
      <c r="Z40">
        <f>AB40&lt;=Variables!$B$18</f>
        <v/>
      </c>
      <c r="AA40" s="12">
        <f>AB39</f>
        <v/>
      </c>
      <c r="AB40" s="12">
        <f>AA40+Variables!$B$9-M40</f>
        <v/>
      </c>
      <c r="AC40" s="11">
        <f>IF(MOD(A40-1,Variables!$B$30)=0,Variables!$B$30*M40,0)</f>
        <v/>
      </c>
      <c r="AD40" s="12">
        <f>IF(A40=MATCH(TRUE,$Y$2:$Y$261,0),MAX($AB$2:$AB$261),IF(A40=MATCH(TRUE,$Y$2:$Y$261,0)-1,0,NA()))</f>
        <v/>
      </c>
      <c r="AE40" s="12">
        <f>IF(A40=MATCH(TRUE,$Z$2:$Z$261,0),MAX($AB$2:$AB$261),IF(A40=MATCH(TRUE,$Z$2:$Z$261,0)-1,0,NA()))</f>
        <v/>
      </c>
    </row>
    <row r="41">
      <c r="A41" t="n">
        <v>40</v>
      </c>
      <c r="B41" s="14">
        <f>Variables!$B$24+(A41-1)*7</f>
        <v/>
      </c>
      <c r="C41" s="12">
        <f>P40</f>
        <v/>
      </c>
      <c r="D41" s="12">
        <f>Q40</f>
        <v/>
      </c>
      <c r="E41" s="12">
        <f>C41+IF(A41&gt;Variables!$B$25,D41,0)</f>
        <v/>
      </c>
      <c r="F41" s="12">
        <f>C41+D41</f>
        <v/>
      </c>
      <c r="G41" s="11">
        <f>IF(A41&gt;Variables!$B$22,Variables!$B$12,0)</f>
        <v/>
      </c>
      <c r="H41" s="11">
        <f>IF(AND(A41&gt;Variables!$B$22,Variables!$B$14="Yes"),Variables!$B$13,0)</f>
        <v/>
      </c>
      <c r="I41" s="11">
        <f>IF(AA41&gt;Variables!$B$18,0,IF(AA41&gt;Variables!$B$19,CEILING((AA41-Variables!$B$19)/Variables!$B$21,1)*Variables!$B$20,0))</f>
        <v/>
      </c>
      <c r="J41" s="11">
        <f>IF(AA41&lt;=Variables!$B$18,MIN(Variables!$B$9-Variables!$B$8+I41,Variables!$B$26),0)</f>
        <v/>
      </c>
      <c r="K41" s="11">
        <f>IF(AA41&lt;=Variables!$B$18,Variables!$B$27,0)</f>
        <v/>
      </c>
      <c r="L41" s="11">
        <f>IF(AA41&gt;Variables!$B$18,G41+H41,Variables!$B$26-J41)</f>
        <v/>
      </c>
      <c r="M41" s="11">
        <f>IF(AA41&gt;Variables!$B$18,Variables!$B$2-G41-H41,J41+K41)</f>
        <v/>
      </c>
      <c r="N41" s="11">
        <f>Variables!$B$9-AC41</f>
        <v/>
      </c>
      <c r="O41" s="12">
        <f>F41+N41</f>
        <v/>
      </c>
      <c r="P41" s="12">
        <f>MAX(0,C41+N41)</f>
        <v/>
      </c>
      <c r="Q41" s="12">
        <f>D41+MIN(0,C41+N41)</f>
        <v/>
      </c>
      <c r="R41">
        <f>IF(AA41&gt;Variables!$B$18,"Self-funder",IF(AA41&gt;Variables!$B$19,"Tariff band - council contributing","Council pays standard rate"))</f>
        <v/>
      </c>
      <c r="S41" s="12">
        <f>Variables!$B$18</f>
        <v/>
      </c>
      <c r="T41" s="12">
        <f>Variables!$B$19</f>
        <v/>
      </c>
      <c r="U41">
        <f>AA41&lt;=Variables!$B$18</f>
        <v/>
      </c>
      <c r="V41">
        <f>AA41&lt;=Variables!$B$19</f>
        <v/>
      </c>
      <c r="W41">
        <f>P41&lt;=0</f>
        <v/>
      </c>
      <c r="X41" s="12">
        <f>Variables!$B$28</f>
        <v/>
      </c>
      <c r="Y41">
        <f>AB41&lt;=Variables!$B$28</f>
        <v/>
      </c>
      <c r="Z41">
        <f>AB41&lt;=Variables!$B$18</f>
        <v/>
      </c>
      <c r="AA41" s="12">
        <f>AB40</f>
        <v/>
      </c>
      <c r="AB41" s="12">
        <f>AA41+Variables!$B$9-M41</f>
        <v/>
      </c>
      <c r="AC41" s="11">
        <f>IF(MOD(A41-1,Variables!$B$30)=0,Variables!$B$30*M41,0)</f>
        <v/>
      </c>
      <c r="AD41" s="12">
        <f>IF(A41=MATCH(TRUE,$Y$2:$Y$261,0),MAX($AB$2:$AB$261),IF(A41=MATCH(TRUE,$Y$2:$Y$261,0)-1,0,NA()))</f>
        <v/>
      </c>
      <c r="AE41" s="12">
        <f>IF(A41=MATCH(TRUE,$Z$2:$Z$261,0),MAX($AB$2:$AB$261),IF(A41=MATCH(TRUE,$Z$2:$Z$261,0)-1,0,NA()))</f>
        <v/>
      </c>
    </row>
    <row r="42">
      <c r="A42" t="n">
        <v>41</v>
      </c>
      <c r="B42" s="14">
        <f>Variables!$B$24+(A42-1)*7</f>
        <v/>
      </c>
      <c r="C42" s="12">
        <f>P41</f>
        <v/>
      </c>
      <c r="D42" s="12">
        <f>Q41</f>
        <v/>
      </c>
      <c r="E42" s="12">
        <f>C42+IF(A42&gt;Variables!$B$25,D42,0)</f>
        <v/>
      </c>
      <c r="F42" s="12">
        <f>C42+D42</f>
        <v/>
      </c>
      <c r="G42" s="11">
        <f>IF(A42&gt;Variables!$B$22,Variables!$B$12,0)</f>
        <v/>
      </c>
      <c r="H42" s="11">
        <f>IF(AND(A42&gt;Variables!$B$22,Variables!$B$14="Yes"),Variables!$B$13,0)</f>
        <v/>
      </c>
      <c r="I42" s="11">
        <f>IF(AA42&gt;Variables!$B$18,0,IF(AA42&gt;Variables!$B$19,CEILING((AA42-Variables!$B$19)/Variables!$B$21,1)*Variables!$B$20,0))</f>
        <v/>
      </c>
      <c r="J42" s="11">
        <f>IF(AA42&lt;=Variables!$B$18,MIN(Variables!$B$9-Variables!$B$8+I42,Variables!$B$26),0)</f>
        <v/>
      </c>
      <c r="K42" s="11">
        <f>IF(AA42&lt;=Variables!$B$18,Variables!$B$27,0)</f>
        <v/>
      </c>
      <c r="L42" s="11">
        <f>IF(AA42&gt;Variables!$B$18,G42+H42,Variables!$B$26-J42)</f>
        <v/>
      </c>
      <c r="M42" s="11">
        <f>IF(AA42&gt;Variables!$B$18,Variables!$B$2-G42-H42,J42+K42)</f>
        <v/>
      </c>
      <c r="N42" s="11">
        <f>Variables!$B$9-AC42</f>
        <v/>
      </c>
      <c r="O42" s="12">
        <f>F42+N42</f>
        <v/>
      </c>
      <c r="P42" s="12">
        <f>MAX(0,C42+N42)</f>
        <v/>
      </c>
      <c r="Q42" s="12">
        <f>D42+MIN(0,C42+N42)</f>
        <v/>
      </c>
      <c r="R42">
        <f>IF(AA42&gt;Variables!$B$18,"Self-funder",IF(AA42&gt;Variables!$B$19,"Tariff band - council contributing","Council pays standard rate"))</f>
        <v/>
      </c>
      <c r="S42" s="12">
        <f>Variables!$B$18</f>
        <v/>
      </c>
      <c r="T42" s="12">
        <f>Variables!$B$19</f>
        <v/>
      </c>
      <c r="U42">
        <f>AA42&lt;=Variables!$B$18</f>
        <v/>
      </c>
      <c r="V42">
        <f>AA42&lt;=Variables!$B$19</f>
        <v/>
      </c>
      <c r="W42">
        <f>P42&lt;=0</f>
        <v/>
      </c>
      <c r="X42" s="12">
        <f>Variables!$B$28</f>
        <v/>
      </c>
      <c r="Y42">
        <f>AB42&lt;=Variables!$B$28</f>
        <v/>
      </c>
      <c r="Z42">
        <f>AB42&lt;=Variables!$B$18</f>
        <v/>
      </c>
      <c r="AA42" s="12">
        <f>AB41</f>
        <v/>
      </c>
      <c r="AB42" s="12">
        <f>AA42+Variables!$B$9-M42</f>
        <v/>
      </c>
      <c r="AC42" s="11">
        <f>IF(MOD(A42-1,Variables!$B$30)=0,Variables!$B$30*M42,0)</f>
        <v/>
      </c>
      <c r="AD42" s="12">
        <f>IF(A42=MATCH(TRUE,$Y$2:$Y$261,0),MAX($AB$2:$AB$261),IF(A42=MATCH(TRUE,$Y$2:$Y$261,0)-1,0,NA()))</f>
        <v/>
      </c>
      <c r="AE42" s="12">
        <f>IF(A42=MATCH(TRUE,$Z$2:$Z$261,0),MAX($AB$2:$AB$261),IF(A42=MATCH(TRUE,$Z$2:$Z$261,0)-1,0,NA()))</f>
        <v/>
      </c>
    </row>
    <row r="43">
      <c r="A43" t="n">
        <v>42</v>
      </c>
      <c r="B43" s="14">
        <f>Variables!$B$24+(A43-1)*7</f>
        <v/>
      </c>
      <c r="C43" s="12">
        <f>P42</f>
        <v/>
      </c>
      <c r="D43" s="12">
        <f>Q42</f>
        <v/>
      </c>
      <c r="E43" s="12">
        <f>C43+IF(A43&gt;Variables!$B$25,D43,0)</f>
        <v/>
      </c>
      <c r="F43" s="12">
        <f>C43+D43</f>
        <v/>
      </c>
      <c r="G43" s="11">
        <f>IF(A43&gt;Variables!$B$22,Variables!$B$12,0)</f>
        <v/>
      </c>
      <c r="H43" s="11">
        <f>IF(AND(A43&gt;Variables!$B$22,Variables!$B$14="Yes"),Variables!$B$13,0)</f>
        <v/>
      </c>
      <c r="I43" s="11">
        <f>IF(AA43&gt;Variables!$B$18,0,IF(AA43&gt;Variables!$B$19,CEILING((AA43-Variables!$B$19)/Variables!$B$21,1)*Variables!$B$20,0))</f>
        <v/>
      </c>
      <c r="J43" s="11">
        <f>IF(AA43&lt;=Variables!$B$18,MIN(Variables!$B$9-Variables!$B$8+I43,Variables!$B$26),0)</f>
        <v/>
      </c>
      <c r="K43" s="11">
        <f>IF(AA43&lt;=Variables!$B$18,Variables!$B$27,0)</f>
        <v/>
      </c>
      <c r="L43" s="11">
        <f>IF(AA43&gt;Variables!$B$18,G43+H43,Variables!$B$26-J43)</f>
        <v/>
      </c>
      <c r="M43" s="11">
        <f>IF(AA43&gt;Variables!$B$18,Variables!$B$2-G43-H43,J43+K43)</f>
        <v/>
      </c>
      <c r="N43" s="11">
        <f>Variables!$B$9-AC43</f>
        <v/>
      </c>
      <c r="O43" s="12">
        <f>F43+N43</f>
        <v/>
      </c>
      <c r="P43" s="12">
        <f>MAX(0,C43+N43)</f>
        <v/>
      </c>
      <c r="Q43" s="12">
        <f>D43+MIN(0,C43+N43)</f>
        <v/>
      </c>
      <c r="R43">
        <f>IF(AA43&gt;Variables!$B$18,"Self-funder",IF(AA43&gt;Variables!$B$19,"Tariff band - council contributing","Council pays standard rate"))</f>
        <v/>
      </c>
      <c r="S43" s="12">
        <f>Variables!$B$18</f>
        <v/>
      </c>
      <c r="T43" s="12">
        <f>Variables!$B$19</f>
        <v/>
      </c>
      <c r="U43">
        <f>AA43&lt;=Variables!$B$18</f>
        <v/>
      </c>
      <c r="V43">
        <f>AA43&lt;=Variables!$B$19</f>
        <v/>
      </c>
      <c r="W43">
        <f>P43&lt;=0</f>
        <v/>
      </c>
      <c r="X43" s="12">
        <f>Variables!$B$28</f>
        <v/>
      </c>
      <c r="Y43">
        <f>AB43&lt;=Variables!$B$28</f>
        <v/>
      </c>
      <c r="Z43">
        <f>AB43&lt;=Variables!$B$18</f>
        <v/>
      </c>
      <c r="AA43" s="12">
        <f>AB42</f>
        <v/>
      </c>
      <c r="AB43" s="12">
        <f>AA43+Variables!$B$9-M43</f>
        <v/>
      </c>
      <c r="AC43" s="11">
        <f>IF(MOD(A43-1,Variables!$B$30)=0,Variables!$B$30*M43,0)</f>
        <v/>
      </c>
      <c r="AD43" s="12">
        <f>IF(A43=MATCH(TRUE,$Y$2:$Y$261,0),MAX($AB$2:$AB$261),IF(A43=MATCH(TRUE,$Y$2:$Y$261,0)-1,0,NA()))</f>
        <v/>
      </c>
      <c r="AE43" s="12">
        <f>IF(A43=MATCH(TRUE,$Z$2:$Z$261,0),MAX($AB$2:$AB$261),IF(A43=MATCH(TRUE,$Z$2:$Z$261,0)-1,0,NA()))</f>
        <v/>
      </c>
    </row>
    <row r="44">
      <c r="A44" t="n">
        <v>43</v>
      </c>
      <c r="B44" s="14">
        <f>Variables!$B$24+(A44-1)*7</f>
        <v/>
      </c>
      <c r="C44" s="12">
        <f>P43</f>
        <v/>
      </c>
      <c r="D44" s="12">
        <f>Q43</f>
        <v/>
      </c>
      <c r="E44" s="12">
        <f>C44+IF(A44&gt;Variables!$B$25,D44,0)</f>
        <v/>
      </c>
      <c r="F44" s="12">
        <f>C44+D44</f>
        <v/>
      </c>
      <c r="G44" s="11">
        <f>IF(A44&gt;Variables!$B$22,Variables!$B$12,0)</f>
        <v/>
      </c>
      <c r="H44" s="11">
        <f>IF(AND(A44&gt;Variables!$B$22,Variables!$B$14="Yes"),Variables!$B$13,0)</f>
        <v/>
      </c>
      <c r="I44" s="11">
        <f>IF(AA44&gt;Variables!$B$18,0,IF(AA44&gt;Variables!$B$19,CEILING((AA44-Variables!$B$19)/Variables!$B$21,1)*Variables!$B$20,0))</f>
        <v/>
      </c>
      <c r="J44" s="11">
        <f>IF(AA44&lt;=Variables!$B$18,MIN(Variables!$B$9-Variables!$B$8+I44,Variables!$B$26),0)</f>
        <v/>
      </c>
      <c r="K44" s="11">
        <f>IF(AA44&lt;=Variables!$B$18,Variables!$B$27,0)</f>
        <v/>
      </c>
      <c r="L44" s="11">
        <f>IF(AA44&gt;Variables!$B$18,G44+H44,Variables!$B$26-J44)</f>
        <v/>
      </c>
      <c r="M44" s="11">
        <f>IF(AA44&gt;Variables!$B$18,Variables!$B$2-G44-H44,J44+K44)</f>
        <v/>
      </c>
      <c r="N44" s="11">
        <f>Variables!$B$9-AC44</f>
        <v/>
      </c>
      <c r="O44" s="12">
        <f>F44+N44</f>
        <v/>
      </c>
      <c r="P44" s="12">
        <f>MAX(0,C44+N44)</f>
        <v/>
      </c>
      <c r="Q44" s="12">
        <f>D44+MIN(0,C44+N44)</f>
        <v/>
      </c>
      <c r="R44">
        <f>IF(AA44&gt;Variables!$B$18,"Self-funder",IF(AA44&gt;Variables!$B$19,"Tariff band - council contributing","Council pays standard rate"))</f>
        <v/>
      </c>
      <c r="S44" s="12">
        <f>Variables!$B$18</f>
        <v/>
      </c>
      <c r="T44" s="12">
        <f>Variables!$B$19</f>
        <v/>
      </c>
      <c r="U44">
        <f>AA44&lt;=Variables!$B$18</f>
        <v/>
      </c>
      <c r="V44">
        <f>AA44&lt;=Variables!$B$19</f>
        <v/>
      </c>
      <c r="W44">
        <f>P44&lt;=0</f>
        <v/>
      </c>
      <c r="X44" s="12">
        <f>Variables!$B$28</f>
        <v/>
      </c>
      <c r="Y44">
        <f>AB44&lt;=Variables!$B$28</f>
        <v/>
      </c>
      <c r="Z44">
        <f>AB44&lt;=Variables!$B$18</f>
        <v/>
      </c>
      <c r="AA44" s="12">
        <f>AB43</f>
        <v/>
      </c>
      <c r="AB44" s="12">
        <f>AA44+Variables!$B$9-M44</f>
        <v/>
      </c>
      <c r="AC44" s="11">
        <f>IF(MOD(A44-1,Variables!$B$30)=0,Variables!$B$30*M44,0)</f>
        <v/>
      </c>
      <c r="AD44" s="12">
        <f>IF(A44=MATCH(TRUE,$Y$2:$Y$261,0),MAX($AB$2:$AB$261),IF(A44=MATCH(TRUE,$Y$2:$Y$261,0)-1,0,NA()))</f>
        <v/>
      </c>
      <c r="AE44" s="12">
        <f>IF(A44=MATCH(TRUE,$Z$2:$Z$261,0),MAX($AB$2:$AB$261),IF(A44=MATCH(TRUE,$Z$2:$Z$261,0)-1,0,NA()))</f>
        <v/>
      </c>
    </row>
    <row r="45">
      <c r="A45" t="n">
        <v>44</v>
      </c>
      <c r="B45" s="14">
        <f>Variables!$B$24+(A45-1)*7</f>
        <v/>
      </c>
      <c r="C45" s="12">
        <f>P44</f>
        <v/>
      </c>
      <c r="D45" s="12">
        <f>Q44</f>
        <v/>
      </c>
      <c r="E45" s="12">
        <f>C45+IF(A45&gt;Variables!$B$25,D45,0)</f>
        <v/>
      </c>
      <c r="F45" s="12">
        <f>C45+D45</f>
        <v/>
      </c>
      <c r="G45" s="11">
        <f>IF(A45&gt;Variables!$B$22,Variables!$B$12,0)</f>
        <v/>
      </c>
      <c r="H45" s="11">
        <f>IF(AND(A45&gt;Variables!$B$22,Variables!$B$14="Yes"),Variables!$B$13,0)</f>
        <v/>
      </c>
      <c r="I45" s="11">
        <f>IF(AA45&gt;Variables!$B$18,0,IF(AA45&gt;Variables!$B$19,CEILING((AA45-Variables!$B$19)/Variables!$B$21,1)*Variables!$B$20,0))</f>
        <v/>
      </c>
      <c r="J45" s="11">
        <f>IF(AA45&lt;=Variables!$B$18,MIN(Variables!$B$9-Variables!$B$8+I45,Variables!$B$26),0)</f>
        <v/>
      </c>
      <c r="K45" s="11">
        <f>IF(AA45&lt;=Variables!$B$18,Variables!$B$27,0)</f>
        <v/>
      </c>
      <c r="L45" s="11">
        <f>IF(AA45&gt;Variables!$B$18,G45+H45,Variables!$B$26-J45)</f>
        <v/>
      </c>
      <c r="M45" s="11">
        <f>IF(AA45&gt;Variables!$B$18,Variables!$B$2-G45-H45,J45+K45)</f>
        <v/>
      </c>
      <c r="N45" s="11">
        <f>Variables!$B$9-AC45</f>
        <v/>
      </c>
      <c r="O45" s="12">
        <f>F45+N45</f>
        <v/>
      </c>
      <c r="P45" s="12">
        <f>MAX(0,C45+N45)</f>
        <v/>
      </c>
      <c r="Q45" s="12">
        <f>D45+MIN(0,C45+N45)</f>
        <v/>
      </c>
      <c r="R45">
        <f>IF(AA45&gt;Variables!$B$18,"Self-funder",IF(AA45&gt;Variables!$B$19,"Tariff band - council contributing","Council pays standard rate"))</f>
        <v/>
      </c>
      <c r="S45" s="12">
        <f>Variables!$B$18</f>
        <v/>
      </c>
      <c r="T45" s="12">
        <f>Variables!$B$19</f>
        <v/>
      </c>
      <c r="U45">
        <f>AA45&lt;=Variables!$B$18</f>
        <v/>
      </c>
      <c r="V45">
        <f>AA45&lt;=Variables!$B$19</f>
        <v/>
      </c>
      <c r="W45">
        <f>P45&lt;=0</f>
        <v/>
      </c>
      <c r="X45" s="12">
        <f>Variables!$B$28</f>
        <v/>
      </c>
      <c r="Y45">
        <f>AB45&lt;=Variables!$B$28</f>
        <v/>
      </c>
      <c r="Z45">
        <f>AB45&lt;=Variables!$B$18</f>
        <v/>
      </c>
      <c r="AA45" s="12">
        <f>AB44</f>
        <v/>
      </c>
      <c r="AB45" s="12">
        <f>AA45+Variables!$B$9-M45</f>
        <v/>
      </c>
      <c r="AC45" s="11">
        <f>IF(MOD(A45-1,Variables!$B$30)=0,Variables!$B$30*M45,0)</f>
        <v/>
      </c>
      <c r="AD45" s="12">
        <f>IF(A45=MATCH(TRUE,$Y$2:$Y$261,0),MAX($AB$2:$AB$261),IF(A45=MATCH(TRUE,$Y$2:$Y$261,0)-1,0,NA()))</f>
        <v/>
      </c>
      <c r="AE45" s="12">
        <f>IF(A45=MATCH(TRUE,$Z$2:$Z$261,0),MAX($AB$2:$AB$261),IF(A45=MATCH(TRUE,$Z$2:$Z$261,0)-1,0,NA()))</f>
        <v/>
      </c>
    </row>
    <row r="46">
      <c r="A46" t="n">
        <v>45</v>
      </c>
      <c r="B46" s="14">
        <f>Variables!$B$24+(A46-1)*7</f>
        <v/>
      </c>
      <c r="C46" s="12">
        <f>P45</f>
        <v/>
      </c>
      <c r="D46" s="12">
        <f>Q45</f>
        <v/>
      </c>
      <c r="E46" s="12">
        <f>C46+IF(A46&gt;Variables!$B$25,D46,0)</f>
        <v/>
      </c>
      <c r="F46" s="12">
        <f>C46+D46</f>
        <v/>
      </c>
      <c r="G46" s="11">
        <f>IF(A46&gt;Variables!$B$22,Variables!$B$12,0)</f>
        <v/>
      </c>
      <c r="H46" s="11">
        <f>IF(AND(A46&gt;Variables!$B$22,Variables!$B$14="Yes"),Variables!$B$13,0)</f>
        <v/>
      </c>
      <c r="I46" s="11">
        <f>IF(AA46&gt;Variables!$B$18,0,IF(AA46&gt;Variables!$B$19,CEILING((AA46-Variables!$B$19)/Variables!$B$21,1)*Variables!$B$20,0))</f>
        <v/>
      </c>
      <c r="J46" s="11">
        <f>IF(AA46&lt;=Variables!$B$18,MIN(Variables!$B$9-Variables!$B$8+I46,Variables!$B$26),0)</f>
        <v/>
      </c>
      <c r="K46" s="11">
        <f>IF(AA46&lt;=Variables!$B$18,Variables!$B$27,0)</f>
        <v/>
      </c>
      <c r="L46" s="11">
        <f>IF(AA46&gt;Variables!$B$18,G46+H46,Variables!$B$26-J46)</f>
        <v/>
      </c>
      <c r="M46" s="11">
        <f>IF(AA46&gt;Variables!$B$18,Variables!$B$2-G46-H46,J46+K46)</f>
        <v/>
      </c>
      <c r="N46" s="11">
        <f>Variables!$B$9-AC46</f>
        <v/>
      </c>
      <c r="O46" s="12">
        <f>F46+N46</f>
        <v/>
      </c>
      <c r="P46" s="12">
        <f>MAX(0,C46+N46)</f>
        <v/>
      </c>
      <c r="Q46" s="12">
        <f>D46+MIN(0,C46+N46)</f>
        <v/>
      </c>
      <c r="R46">
        <f>IF(AA46&gt;Variables!$B$18,"Self-funder",IF(AA46&gt;Variables!$B$19,"Tariff band - council contributing","Council pays standard rate"))</f>
        <v/>
      </c>
      <c r="S46" s="12">
        <f>Variables!$B$18</f>
        <v/>
      </c>
      <c r="T46" s="12">
        <f>Variables!$B$19</f>
        <v/>
      </c>
      <c r="U46">
        <f>AA46&lt;=Variables!$B$18</f>
        <v/>
      </c>
      <c r="V46">
        <f>AA46&lt;=Variables!$B$19</f>
        <v/>
      </c>
      <c r="W46">
        <f>P46&lt;=0</f>
        <v/>
      </c>
      <c r="X46" s="12">
        <f>Variables!$B$28</f>
        <v/>
      </c>
      <c r="Y46">
        <f>AB46&lt;=Variables!$B$28</f>
        <v/>
      </c>
      <c r="Z46">
        <f>AB46&lt;=Variables!$B$18</f>
        <v/>
      </c>
      <c r="AA46" s="12">
        <f>AB45</f>
        <v/>
      </c>
      <c r="AB46" s="12">
        <f>AA46+Variables!$B$9-M46</f>
        <v/>
      </c>
      <c r="AC46" s="11">
        <f>IF(MOD(A46-1,Variables!$B$30)=0,Variables!$B$30*M46,0)</f>
        <v/>
      </c>
      <c r="AD46" s="12">
        <f>IF(A46=MATCH(TRUE,$Y$2:$Y$261,0),MAX($AB$2:$AB$261),IF(A46=MATCH(TRUE,$Y$2:$Y$261,0)-1,0,NA()))</f>
        <v/>
      </c>
      <c r="AE46" s="12">
        <f>IF(A46=MATCH(TRUE,$Z$2:$Z$261,0),MAX($AB$2:$AB$261),IF(A46=MATCH(TRUE,$Z$2:$Z$261,0)-1,0,NA()))</f>
        <v/>
      </c>
    </row>
    <row r="47">
      <c r="A47" t="n">
        <v>46</v>
      </c>
      <c r="B47" s="14">
        <f>Variables!$B$24+(A47-1)*7</f>
        <v/>
      </c>
      <c r="C47" s="12">
        <f>P46</f>
        <v/>
      </c>
      <c r="D47" s="12">
        <f>Q46</f>
        <v/>
      </c>
      <c r="E47" s="12">
        <f>C47+IF(A47&gt;Variables!$B$25,D47,0)</f>
        <v/>
      </c>
      <c r="F47" s="12">
        <f>C47+D47</f>
        <v/>
      </c>
      <c r="G47" s="11">
        <f>IF(A47&gt;Variables!$B$22,Variables!$B$12,0)</f>
        <v/>
      </c>
      <c r="H47" s="11">
        <f>IF(AND(A47&gt;Variables!$B$22,Variables!$B$14="Yes"),Variables!$B$13,0)</f>
        <v/>
      </c>
      <c r="I47" s="11">
        <f>IF(AA47&gt;Variables!$B$18,0,IF(AA47&gt;Variables!$B$19,CEILING((AA47-Variables!$B$19)/Variables!$B$21,1)*Variables!$B$20,0))</f>
        <v/>
      </c>
      <c r="J47" s="11">
        <f>IF(AA47&lt;=Variables!$B$18,MIN(Variables!$B$9-Variables!$B$8+I47,Variables!$B$26),0)</f>
        <v/>
      </c>
      <c r="K47" s="11">
        <f>IF(AA47&lt;=Variables!$B$18,Variables!$B$27,0)</f>
        <v/>
      </c>
      <c r="L47" s="11">
        <f>IF(AA47&gt;Variables!$B$18,G47+H47,Variables!$B$26-J47)</f>
        <v/>
      </c>
      <c r="M47" s="11">
        <f>IF(AA47&gt;Variables!$B$18,Variables!$B$2-G47-H47,J47+K47)</f>
        <v/>
      </c>
      <c r="N47" s="11">
        <f>Variables!$B$9-AC47</f>
        <v/>
      </c>
      <c r="O47" s="12">
        <f>F47+N47</f>
        <v/>
      </c>
      <c r="P47" s="12">
        <f>MAX(0,C47+N47)</f>
        <v/>
      </c>
      <c r="Q47" s="12">
        <f>D47+MIN(0,C47+N47)</f>
        <v/>
      </c>
      <c r="R47">
        <f>IF(AA47&gt;Variables!$B$18,"Self-funder",IF(AA47&gt;Variables!$B$19,"Tariff band - council contributing","Council pays standard rate"))</f>
        <v/>
      </c>
      <c r="S47" s="12">
        <f>Variables!$B$18</f>
        <v/>
      </c>
      <c r="T47" s="12">
        <f>Variables!$B$19</f>
        <v/>
      </c>
      <c r="U47">
        <f>AA47&lt;=Variables!$B$18</f>
        <v/>
      </c>
      <c r="V47">
        <f>AA47&lt;=Variables!$B$19</f>
        <v/>
      </c>
      <c r="W47">
        <f>P47&lt;=0</f>
        <v/>
      </c>
      <c r="X47" s="12">
        <f>Variables!$B$28</f>
        <v/>
      </c>
      <c r="Y47">
        <f>AB47&lt;=Variables!$B$28</f>
        <v/>
      </c>
      <c r="Z47">
        <f>AB47&lt;=Variables!$B$18</f>
        <v/>
      </c>
      <c r="AA47" s="12">
        <f>AB46</f>
        <v/>
      </c>
      <c r="AB47" s="12">
        <f>AA47+Variables!$B$9-M47</f>
        <v/>
      </c>
      <c r="AC47" s="11">
        <f>IF(MOD(A47-1,Variables!$B$30)=0,Variables!$B$30*M47,0)</f>
        <v/>
      </c>
      <c r="AD47" s="12">
        <f>IF(A47=MATCH(TRUE,$Y$2:$Y$261,0),MAX($AB$2:$AB$261),IF(A47=MATCH(TRUE,$Y$2:$Y$261,0)-1,0,NA()))</f>
        <v/>
      </c>
      <c r="AE47" s="12">
        <f>IF(A47=MATCH(TRUE,$Z$2:$Z$261,0),MAX($AB$2:$AB$261),IF(A47=MATCH(TRUE,$Z$2:$Z$261,0)-1,0,NA()))</f>
        <v/>
      </c>
    </row>
    <row r="48">
      <c r="A48" t="n">
        <v>47</v>
      </c>
      <c r="B48" s="14">
        <f>Variables!$B$24+(A48-1)*7</f>
        <v/>
      </c>
      <c r="C48" s="12">
        <f>P47</f>
        <v/>
      </c>
      <c r="D48" s="12">
        <f>Q47</f>
        <v/>
      </c>
      <c r="E48" s="12">
        <f>C48+IF(A48&gt;Variables!$B$25,D48,0)</f>
        <v/>
      </c>
      <c r="F48" s="12">
        <f>C48+D48</f>
        <v/>
      </c>
      <c r="G48" s="11">
        <f>IF(A48&gt;Variables!$B$22,Variables!$B$12,0)</f>
        <v/>
      </c>
      <c r="H48" s="11">
        <f>IF(AND(A48&gt;Variables!$B$22,Variables!$B$14="Yes"),Variables!$B$13,0)</f>
        <v/>
      </c>
      <c r="I48" s="11">
        <f>IF(AA48&gt;Variables!$B$18,0,IF(AA48&gt;Variables!$B$19,CEILING((AA48-Variables!$B$19)/Variables!$B$21,1)*Variables!$B$20,0))</f>
        <v/>
      </c>
      <c r="J48" s="11">
        <f>IF(AA48&lt;=Variables!$B$18,MIN(Variables!$B$9-Variables!$B$8+I48,Variables!$B$26),0)</f>
        <v/>
      </c>
      <c r="K48" s="11">
        <f>IF(AA48&lt;=Variables!$B$18,Variables!$B$27,0)</f>
        <v/>
      </c>
      <c r="L48" s="11">
        <f>IF(AA48&gt;Variables!$B$18,G48+H48,Variables!$B$26-J48)</f>
        <v/>
      </c>
      <c r="M48" s="11">
        <f>IF(AA48&gt;Variables!$B$18,Variables!$B$2-G48-H48,J48+K48)</f>
        <v/>
      </c>
      <c r="N48" s="11">
        <f>Variables!$B$9-AC48</f>
        <v/>
      </c>
      <c r="O48" s="12">
        <f>F48+N48</f>
        <v/>
      </c>
      <c r="P48" s="12">
        <f>MAX(0,C48+N48)</f>
        <v/>
      </c>
      <c r="Q48" s="12">
        <f>D48+MIN(0,C48+N48)</f>
        <v/>
      </c>
      <c r="R48">
        <f>IF(AA48&gt;Variables!$B$18,"Self-funder",IF(AA48&gt;Variables!$B$19,"Tariff band - council contributing","Council pays standard rate"))</f>
        <v/>
      </c>
      <c r="S48" s="12">
        <f>Variables!$B$18</f>
        <v/>
      </c>
      <c r="T48" s="12">
        <f>Variables!$B$19</f>
        <v/>
      </c>
      <c r="U48">
        <f>AA48&lt;=Variables!$B$18</f>
        <v/>
      </c>
      <c r="V48">
        <f>AA48&lt;=Variables!$B$19</f>
        <v/>
      </c>
      <c r="W48">
        <f>P48&lt;=0</f>
        <v/>
      </c>
      <c r="X48" s="12">
        <f>Variables!$B$28</f>
        <v/>
      </c>
      <c r="Y48">
        <f>AB48&lt;=Variables!$B$28</f>
        <v/>
      </c>
      <c r="Z48">
        <f>AB48&lt;=Variables!$B$18</f>
        <v/>
      </c>
      <c r="AA48" s="12">
        <f>AB47</f>
        <v/>
      </c>
      <c r="AB48" s="12">
        <f>AA48+Variables!$B$9-M48</f>
        <v/>
      </c>
      <c r="AC48" s="11">
        <f>IF(MOD(A48-1,Variables!$B$30)=0,Variables!$B$30*M48,0)</f>
        <v/>
      </c>
      <c r="AD48" s="12">
        <f>IF(A48=MATCH(TRUE,$Y$2:$Y$261,0),MAX($AB$2:$AB$261),IF(A48=MATCH(TRUE,$Y$2:$Y$261,0)-1,0,NA()))</f>
        <v/>
      </c>
      <c r="AE48" s="12">
        <f>IF(A48=MATCH(TRUE,$Z$2:$Z$261,0),MAX($AB$2:$AB$261),IF(A48=MATCH(TRUE,$Z$2:$Z$261,0)-1,0,NA()))</f>
        <v/>
      </c>
    </row>
    <row r="49">
      <c r="A49" t="n">
        <v>48</v>
      </c>
      <c r="B49" s="14">
        <f>Variables!$B$24+(A49-1)*7</f>
        <v/>
      </c>
      <c r="C49" s="12">
        <f>P48</f>
        <v/>
      </c>
      <c r="D49" s="12">
        <f>Q48</f>
        <v/>
      </c>
      <c r="E49" s="12">
        <f>C49+IF(A49&gt;Variables!$B$25,D49,0)</f>
        <v/>
      </c>
      <c r="F49" s="12">
        <f>C49+D49</f>
        <v/>
      </c>
      <c r="G49" s="11">
        <f>IF(A49&gt;Variables!$B$22,Variables!$B$12,0)</f>
        <v/>
      </c>
      <c r="H49" s="11">
        <f>IF(AND(A49&gt;Variables!$B$22,Variables!$B$14="Yes"),Variables!$B$13,0)</f>
        <v/>
      </c>
      <c r="I49" s="11">
        <f>IF(AA49&gt;Variables!$B$18,0,IF(AA49&gt;Variables!$B$19,CEILING((AA49-Variables!$B$19)/Variables!$B$21,1)*Variables!$B$20,0))</f>
        <v/>
      </c>
      <c r="J49" s="11">
        <f>IF(AA49&lt;=Variables!$B$18,MIN(Variables!$B$9-Variables!$B$8+I49,Variables!$B$26),0)</f>
        <v/>
      </c>
      <c r="K49" s="11">
        <f>IF(AA49&lt;=Variables!$B$18,Variables!$B$27,0)</f>
        <v/>
      </c>
      <c r="L49" s="11">
        <f>IF(AA49&gt;Variables!$B$18,G49+H49,Variables!$B$26-J49)</f>
        <v/>
      </c>
      <c r="M49" s="11">
        <f>IF(AA49&gt;Variables!$B$18,Variables!$B$2-G49-H49,J49+K49)</f>
        <v/>
      </c>
      <c r="N49" s="11">
        <f>Variables!$B$9-AC49</f>
        <v/>
      </c>
      <c r="O49" s="12">
        <f>F49+N49</f>
        <v/>
      </c>
      <c r="P49" s="12">
        <f>MAX(0,C49+N49)</f>
        <v/>
      </c>
      <c r="Q49" s="12">
        <f>D49+MIN(0,C49+N49)</f>
        <v/>
      </c>
      <c r="R49">
        <f>IF(AA49&gt;Variables!$B$18,"Self-funder",IF(AA49&gt;Variables!$B$19,"Tariff band - council contributing","Council pays standard rate"))</f>
        <v/>
      </c>
      <c r="S49" s="12">
        <f>Variables!$B$18</f>
        <v/>
      </c>
      <c r="T49" s="12">
        <f>Variables!$B$19</f>
        <v/>
      </c>
      <c r="U49">
        <f>AA49&lt;=Variables!$B$18</f>
        <v/>
      </c>
      <c r="V49">
        <f>AA49&lt;=Variables!$B$19</f>
        <v/>
      </c>
      <c r="W49">
        <f>P49&lt;=0</f>
        <v/>
      </c>
      <c r="X49" s="12">
        <f>Variables!$B$28</f>
        <v/>
      </c>
      <c r="Y49">
        <f>AB49&lt;=Variables!$B$28</f>
        <v/>
      </c>
      <c r="Z49">
        <f>AB49&lt;=Variables!$B$18</f>
        <v/>
      </c>
      <c r="AA49" s="12">
        <f>AB48</f>
        <v/>
      </c>
      <c r="AB49" s="12">
        <f>AA49+Variables!$B$9-M49</f>
        <v/>
      </c>
      <c r="AC49" s="11">
        <f>IF(MOD(A49-1,Variables!$B$30)=0,Variables!$B$30*M49,0)</f>
        <v/>
      </c>
      <c r="AD49" s="12">
        <f>IF(A49=MATCH(TRUE,$Y$2:$Y$261,0),MAX($AB$2:$AB$261),IF(A49=MATCH(TRUE,$Y$2:$Y$261,0)-1,0,NA()))</f>
        <v/>
      </c>
      <c r="AE49" s="12">
        <f>IF(A49=MATCH(TRUE,$Z$2:$Z$261,0),MAX($AB$2:$AB$261),IF(A49=MATCH(TRUE,$Z$2:$Z$261,0)-1,0,NA()))</f>
        <v/>
      </c>
    </row>
    <row r="50">
      <c r="A50" t="n">
        <v>49</v>
      </c>
      <c r="B50" s="14">
        <f>Variables!$B$24+(A50-1)*7</f>
        <v/>
      </c>
      <c r="C50" s="12">
        <f>P49</f>
        <v/>
      </c>
      <c r="D50" s="12">
        <f>Q49</f>
        <v/>
      </c>
      <c r="E50" s="12">
        <f>C50+IF(A50&gt;Variables!$B$25,D50,0)</f>
        <v/>
      </c>
      <c r="F50" s="12">
        <f>C50+D50</f>
        <v/>
      </c>
      <c r="G50" s="11">
        <f>IF(A50&gt;Variables!$B$22,Variables!$B$12,0)</f>
        <v/>
      </c>
      <c r="H50" s="11">
        <f>IF(AND(A50&gt;Variables!$B$22,Variables!$B$14="Yes"),Variables!$B$13,0)</f>
        <v/>
      </c>
      <c r="I50" s="11">
        <f>IF(AA50&gt;Variables!$B$18,0,IF(AA50&gt;Variables!$B$19,CEILING((AA50-Variables!$B$19)/Variables!$B$21,1)*Variables!$B$20,0))</f>
        <v/>
      </c>
      <c r="J50" s="11">
        <f>IF(AA50&lt;=Variables!$B$18,MIN(Variables!$B$9-Variables!$B$8+I50,Variables!$B$26),0)</f>
        <v/>
      </c>
      <c r="K50" s="11">
        <f>IF(AA50&lt;=Variables!$B$18,Variables!$B$27,0)</f>
        <v/>
      </c>
      <c r="L50" s="11">
        <f>IF(AA50&gt;Variables!$B$18,G50+H50,Variables!$B$26-J50)</f>
        <v/>
      </c>
      <c r="M50" s="11">
        <f>IF(AA50&gt;Variables!$B$18,Variables!$B$2-G50-H50,J50+K50)</f>
        <v/>
      </c>
      <c r="N50" s="11">
        <f>Variables!$B$9-AC50</f>
        <v/>
      </c>
      <c r="O50" s="12">
        <f>F50+N50</f>
        <v/>
      </c>
      <c r="P50" s="12">
        <f>MAX(0,C50+N50)</f>
        <v/>
      </c>
      <c r="Q50" s="12">
        <f>D50+MIN(0,C50+N50)</f>
        <v/>
      </c>
      <c r="R50">
        <f>IF(AA50&gt;Variables!$B$18,"Self-funder",IF(AA50&gt;Variables!$B$19,"Tariff band - council contributing","Council pays standard rate"))</f>
        <v/>
      </c>
      <c r="S50" s="12">
        <f>Variables!$B$18</f>
        <v/>
      </c>
      <c r="T50" s="12">
        <f>Variables!$B$19</f>
        <v/>
      </c>
      <c r="U50">
        <f>AA50&lt;=Variables!$B$18</f>
        <v/>
      </c>
      <c r="V50">
        <f>AA50&lt;=Variables!$B$19</f>
        <v/>
      </c>
      <c r="W50">
        <f>P50&lt;=0</f>
        <v/>
      </c>
      <c r="X50" s="12">
        <f>Variables!$B$28</f>
        <v/>
      </c>
      <c r="Y50">
        <f>AB50&lt;=Variables!$B$28</f>
        <v/>
      </c>
      <c r="Z50">
        <f>AB50&lt;=Variables!$B$18</f>
        <v/>
      </c>
      <c r="AA50" s="12">
        <f>AB49</f>
        <v/>
      </c>
      <c r="AB50" s="12">
        <f>AA50+Variables!$B$9-M50</f>
        <v/>
      </c>
      <c r="AC50" s="11">
        <f>IF(MOD(A50-1,Variables!$B$30)=0,Variables!$B$30*M50,0)</f>
        <v/>
      </c>
      <c r="AD50" s="12">
        <f>IF(A50=MATCH(TRUE,$Y$2:$Y$261,0),MAX($AB$2:$AB$261),IF(A50=MATCH(TRUE,$Y$2:$Y$261,0)-1,0,NA()))</f>
        <v/>
      </c>
      <c r="AE50" s="12">
        <f>IF(A50=MATCH(TRUE,$Z$2:$Z$261,0),MAX($AB$2:$AB$261),IF(A50=MATCH(TRUE,$Z$2:$Z$261,0)-1,0,NA()))</f>
        <v/>
      </c>
    </row>
    <row r="51">
      <c r="A51" t="n">
        <v>50</v>
      </c>
      <c r="B51" s="14">
        <f>Variables!$B$24+(A51-1)*7</f>
        <v/>
      </c>
      <c r="C51" s="12">
        <f>P50</f>
        <v/>
      </c>
      <c r="D51" s="12">
        <f>Q50</f>
        <v/>
      </c>
      <c r="E51" s="12">
        <f>C51+IF(A51&gt;Variables!$B$25,D51,0)</f>
        <v/>
      </c>
      <c r="F51" s="12">
        <f>C51+D51</f>
        <v/>
      </c>
      <c r="G51" s="11">
        <f>IF(A51&gt;Variables!$B$22,Variables!$B$12,0)</f>
        <v/>
      </c>
      <c r="H51" s="11">
        <f>IF(AND(A51&gt;Variables!$B$22,Variables!$B$14="Yes"),Variables!$B$13,0)</f>
        <v/>
      </c>
      <c r="I51" s="11">
        <f>IF(AA51&gt;Variables!$B$18,0,IF(AA51&gt;Variables!$B$19,CEILING((AA51-Variables!$B$19)/Variables!$B$21,1)*Variables!$B$20,0))</f>
        <v/>
      </c>
      <c r="J51" s="11">
        <f>IF(AA51&lt;=Variables!$B$18,MIN(Variables!$B$9-Variables!$B$8+I51,Variables!$B$26),0)</f>
        <v/>
      </c>
      <c r="K51" s="11">
        <f>IF(AA51&lt;=Variables!$B$18,Variables!$B$27,0)</f>
        <v/>
      </c>
      <c r="L51" s="11">
        <f>IF(AA51&gt;Variables!$B$18,G51+H51,Variables!$B$26-J51)</f>
        <v/>
      </c>
      <c r="M51" s="11">
        <f>IF(AA51&gt;Variables!$B$18,Variables!$B$2-G51-H51,J51+K51)</f>
        <v/>
      </c>
      <c r="N51" s="11">
        <f>Variables!$B$9-AC51</f>
        <v/>
      </c>
      <c r="O51" s="12">
        <f>F51+N51</f>
        <v/>
      </c>
      <c r="P51" s="12">
        <f>MAX(0,C51+N51)</f>
        <v/>
      </c>
      <c r="Q51" s="12">
        <f>D51+MIN(0,C51+N51)</f>
        <v/>
      </c>
      <c r="R51">
        <f>IF(AA51&gt;Variables!$B$18,"Self-funder",IF(AA51&gt;Variables!$B$19,"Tariff band - council contributing","Council pays standard rate"))</f>
        <v/>
      </c>
      <c r="S51" s="12">
        <f>Variables!$B$18</f>
        <v/>
      </c>
      <c r="T51" s="12">
        <f>Variables!$B$19</f>
        <v/>
      </c>
      <c r="U51">
        <f>AA51&lt;=Variables!$B$18</f>
        <v/>
      </c>
      <c r="V51">
        <f>AA51&lt;=Variables!$B$19</f>
        <v/>
      </c>
      <c r="W51">
        <f>P51&lt;=0</f>
        <v/>
      </c>
      <c r="X51" s="12">
        <f>Variables!$B$28</f>
        <v/>
      </c>
      <c r="Y51">
        <f>AB51&lt;=Variables!$B$28</f>
        <v/>
      </c>
      <c r="Z51">
        <f>AB51&lt;=Variables!$B$18</f>
        <v/>
      </c>
      <c r="AA51" s="12">
        <f>AB50</f>
        <v/>
      </c>
      <c r="AB51" s="12">
        <f>AA51+Variables!$B$9-M51</f>
        <v/>
      </c>
      <c r="AC51" s="11">
        <f>IF(MOD(A51-1,Variables!$B$30)=0,Variables!$B$30*M51,0)</f>
        <v/>
      </c>
      <c r="AD51" s="12">
        <f>IF(A51=MATCH(TRUE,$Y$2:$Y$261,0),MAX($AB$2:$AB$261),IF(A51=MATCH(TRUE,$Y$2:$Y$261,0)-1,0,NA()))</f>
        <v/>
      </c>
      <c r="AE51" s="12">
        <f>IF(A51=MATCH(TRUE,$Z$2:$Z$261,0),MAX($AB$2:$AB$261),IF(A51=MATCH(TRUE,$Z$2:$Z$261,0)-1,0,NA()))</f>
        <v/>
      </c>
    </row>
    <row r="52">
      <c r="A52" t="n">
        <v>51</v>
      </c>
      <c r="B52" s="14">
        <f>Variables!$B$24+(A52-1)*7</f>
        <v/>
      </c>
      <c r="C52" s="12">
        <f>P51</f>
        <v/>
      </c>
      <c r="D52" s="12">
        <f>Q51</f>
        <v/>
      </c>
      <c r="E52" s="12">
        <f>C52+IF(A52&gt;Variables!$B$25,D52,0)</f>
        <v/>
      </c>
      <c r="F52" s="12">
        <f>C52+D52</f>
        <v/>
      </c>
      <c r="G52" s="11">
        <f>IF(A52&gt;Variables!$B$22,Variables!$B$12,0)</f>
        <v/>
      </c>
      <c r="H52" s="11">
        <f>IF(AND(A52&gt;Variables!$B$22,Variables!$B$14="Yes"),Variables!$B$13,0)</f>
        <v/>
      </c>
      <c r="I52" s="11">
        <f>IF(AA52&gt;Variables!$B$18,0,IF(AA52&gt;Variables!$B$19,CEILING((AA52-Variables!$B$19)/Variables!$B$21,1)*Variables!$B$20,0))</f>
        <v/>
      </c>
      <c r="J52" s="11">
        <f>IF(AA52&lt;=Variables!$B$18,MIN(Variables!$B$9-Variables!$B$8+I52,Variables!$B$26),0)</f>
        <v/>
      </c>
      <c r="K52" s="11">
        <f>IF(AA52&lt;=Variables!$B$18,Variables!$B$27,0)</f>
        <v/>
      </c>
      <c r="L52" s="11">
        <f>IF(AA52&gt;Variables!$B$18,G52+H52,Variables!$B$26-J52)</f>
        <v/>
      </c>
      <c r="M52" s="11">
        <f>IF(AA52&gt;Variables!$B$18,Variables!$B$2-G52-H52,J52+K52)</f>
        <v/>
      </c>
      <c r="N52" s="11">
        <f>Variables!$B$9-AC52</f>
        <v/>
      </c>
      <c r="O52" s="12">
        <f>F52+N52</f>
        <v/>
      </c>
      <c r="P52" s="12">
        <f>MAX(0,C52+N52)</f>
        <v/>
      </c>
      <c r="Q52" s="12">
        <f>D52+MIN(0,C52+N52)</f>
        <v/>
      </c>
      <c r="R52">
        <f>IF(AA52&gt;Variables!$B$18,"Self-funder",IF(AA52&gt;Variables!$B$19,"Tariff band - council contributing","Council pays standard rate"))</f>
        <v/>
      </c>
      <c r="S52" s="12">
        <f>Variables!$B$18</f>
        <v/>
      </c>
      <c r="T52" s="12">
        <f>Variables!$B$19</f>
        <v/>
      </c>
      <c r="U52">
        <f>AA52&lt;=Variables!$B$18</f>
        <v/>
      </c>
      <c r="V52">
        <f>AA52&lt;=Variables!$B$19</f>
        <v/>
      </c>
      <c r="W52">
        <f>P52&lt;=0</f>
        <v/>
      </c>
      <c r="X52" s="12">
        <f>Variables!$B$28</f>
        <v/>
      </c>
      <c r="Y52">
        <f>AB52&lt;=Variables!$B$28</f>
        <v/>
      </c>
      <c r="Z52">
        <f>AB52&lt;=Variables!$B$18</f>
        <v/>
      </c>
      <c r="AA52" s="12">
        <f>AB51</f>
        <v/>
      </c>
      <c r="AB52" s="12">
        <f>AA52+Variables!$B$9-M52</f>
        <v/>
      </c>
      <c r="AC52" s="11">
        <f>IF(MOD(A52-1,Variables!$B$30)=0,Variables!$B$30*M52,0)</f>
        <v/>
      </c>
      <c r="AD52" s="12">
        <f>IF(A52=MATCH(TRUE,$Y$2:$Y$261,0),MAX($AB$2:$AB$261),IF(A52=MATCH(TRUE,$Y$2:$Y$261,0)-1,0,NA()))</f>
        <v/>
      </c>
      <c r="AE52" s="12">
        <f>IF(A52=MATCH(TRUE,$Z$2:$Z$261,0),MAX($AB$2:$AB$261),IF(A52=MATCH(TRUE,$Z$2:$Z$261,0)-1,0,NA()))</f>
        <v/>
      </c>
    </row>
    <row r="53">
      <c r="A53" t="n">
        <v>52</v>
      </c>
      <c r="B53" s="14">
        <f>Variables!$B$24+(A53-1)*7</f>
        <v/>
      </c>
      <c r="C53" s="12">
        <f>P52</f>
        <v/>
      </c>
      <c r="D53" s="12">
        <f>Q52</f>
        <v/>
      </c>
      <c r="E53" s="12">
        <f>C53+IF(A53&gt;Variables!$B$25,D53,0)</f>
        <v/>
      </c>
      <c r="F53" s="12">
        <f>C53+D53</f>
        <v/>
      </c>
      <c r="G53" s="11">
        <f>IF(A53&gt;Variables!$B$22,Variables!$B$12,0)</f>
        <v/>
      </c>
      <c r="H53" s="11">
        <f>IF(AND(A53&gt;Variables!$B$22,Variables!$B$14="Yes"),Variables!$B$13,0)</f>
        <v/>
      </c>
      <c r="I53" s="11">
        <f>IF(AA53&gt;Variables!$B$18,0,IF(AA53&gt;Variables!$B$19,CEILING((AA53-Variables!$B$19)/Variables!$B$21,1)*Variables!$B$20,0))</f>
        <v/>
      </c>
      <c r="J53" s="11">
        <f>IF(AA53&lt;=Variables!$B$18,MIN(Variables!$B$9-Variables!$B$8+I53,Variables!$B$26),0)</f>
        <v/>
      </c>
      <c r="K53" s="11">
        <f>IF(AA53&lt;=Variables!$B$18,Variables!$B$27,0)</f>
        <v/>
      </c>
      <c r="L53" s="11">
        <f>IF(AA53&gt;Variables!$B$18,G53+H53,Variables!$B$26-J53)</f>
        <v/>
      </c>
      <c r="M53" s="11">
        <f>IF(AA53&gt;Variables!$B$18,Variables!$B$2-G53-H53,J53+K53)</f>
        <v/>
      </c>
      <c r="N53" s="11">
        <f>Variables!$B$9-AC53</f>
        <v/>
      </c>
      <c r="O53" s="12">
        <f>F53+N53</f>
        <v/>
      </c>
      <c r="P53" s="12">
        <f>MAX(0,C53+N53)</f>
        <v/>
      </c>
      <c r="Q53" s="12">
        <f>D53+MIN(0,C53+N53)</f>
        <v/>
      </c>
      <c r="R53">
        <f>IF(AA53&gt;Variables!$B$18,"Self-funder",IF(AA53&gt;Variables!$B$19,"Tariff band - council contributing","Council pays standard rate"))</f>
        <v/>
      </c>
      <c r="S53" s="12">
        <f>Variables!$B$18</f>
        <v/>
      </c>
      <c r="T53" s="12">
        <f>Variables!$B$19</f>
        <v/>
      </c>
      <c r="U53">
        <f>AA53&lt;=Variables!$B$18</f>
        <v/>
      </c>
      <c r="V53">
        <f>AA53&lt;=Variables!$B$19</f>
        <v/>
      </c>
      <c r="W53">
        <f>P53&lt;=0</f>
        <v/>
      </c>
      <c r="X53" s="12">
        <f>Variables!$B$28</f>
        <v/>
      </c>
      <c r="Y53">
        <f>AB53&lt;=Variables!$B$28</f>
        <v/>
      </c>
      <c r="Z53">
        <f>AB53&lt;=Variables!$B$18</f>
        <v/>
      </c>
      <c r="AA53" s="12">
        <f>AB52</f>
        <v/>
      </c>
      <c r="AB53" s="12">
        <f>AA53+Variables!$B$9-M53</f>
        <v/>
      </c>
      <c r="AC53" s="11">
        <f>IF(MOD(A53-1,Variables!$B$30)=0,Variables!$B$30*M53,0)</f>
        <v/>
      </c>
      <c r="AD53" s="12">
        <f>IF(A53=MATCH(TRUE,$Y$2:$Y$261,0),MAX($AB$2:$AB$261),IF(A53=MATCH(TRUE,$Y$2:$Y$261,0)-1,0,NA()))</f>
        <v/>
      </c>
      <c r="AE53" s="12">
        <f>IF(A53=MATCH(TRUE,$Z$2:$Z$261,0),MAX($AB$2:$AB$261),IF(A53=MATCH(TRUE,$Z$2:$Z$261,0)-1,0,NA()))</f>
        <v/>
      </c>
    </row>
    <row r="54">
      <c r="A54" t="n">
        <v>53</v>
      </c>
      <c r="B54" s="14">
        <f>Variables!$B$24+(A54-1)*7</f>
        <v/>
      </c>
      <c r="C54" s="12">
        <f>P53</f>
        <v/>
      </c>
      <c r="D54" s="12">
        <f>Q53</f>
        <v/>
      </c>
      <c r="E54" s="12">
        <f>C54+IF(A54&gt;Variables!$B$25,D54,0)</f>
        <v/>
      </c>
      <c r="F54" s="12">
        <f>C54+D54</f>
        <v/>
      </c>
      <c r="G54" s="11">
        <f>IF(A54&gt;Variables!$B$22,Variables!$B$12,0)</f>
        <v/>
      </c>
      <c r="H54" s="11">
        <f>IF(AND(A54&gt;Variables!$B$22,Variables!$B$14="Yes"),Variables!$B$13,0)</f>
        <v/>
      </c>
      <c r="I54" s="11">
        <f>IF(AA54&gt;Variables!$B$18,0,IF(AA54&gt;Variables!$B$19,CEILING((AA54-Variables!$B$19)/Variables!$B$21,1)*Variables!$B$20,0))</f>
        <v/>
      </c>
      <c r="J54" s="11">
        <f>IF(AA54&lt;=Variables!$B$18,MIN(Variables!$B$9-Variables!$B$8+I54,Variables!$B$26),0)</f>
        <v/>
      </c>
      <c r="K54" s="11">
        <f>IF(AA54&lt;=Variables!$B$18,Variables!$B$27,0)</f>
        <v/>
      </c>
      <c r="L54" s="11">
        <f>IF(AA54&gt;Variables!$B$18,G54+H54,Variables!$B$26-J54)</f>
        <v/>
      </c>
      <c r="M54" s="11">
        <f>IF(AA54&gt;Variables!$B$18,Variables!$B$2-G54-H54,J54+K54)</f>
        <v/>
      </c>
      <c r="N54" s="11">
        <f>Variables!$B$9-AC54</f>
        <v/>
      </c>
      <c r="O54" s="12">
        <f>F54+N54</f>
        <v/>
      </c>
      <c r="P54" s="12">
        <f>MAX(0,C54+N54)</f>
        <v/>
      </c>
      <c r="Q54" s="12">
        <f>D54+MIN(0,C54+N54)</f>
        <v/>
      </c>
      <c r="R54">
        <f>IF(AA54&gt;Variables!$B$18,"Self-funder",IF(AA54&gt;Variables!$B$19,"Tariff band - council contributing","Council pays standard rate"))</f>
        <v/>
      </c>
      <c r="S54" s="12">
        <f>Variables!$B$18</f>
        <v/>
      </c>
      <c r="T54" s="12">
        <f>Variables!$B$19</f>
        <v/>
      </c>
      <c r="U54">
        <f>AA54&lt;=Variables!$B$18</f>
        <v/>
      </c>
      <c r="V54">
        <f>AA54&lt;=Variables!$B$19</f>
        <v/>
      </c>
      <c r="W54">
        <f>P54&lt;=0</f>
        <v/>
      </c>
      <c r="X54" s="12">
        <f>Variables!$B$28</f>
        <v/>
      </c>
      <c r="Y54">
        <f>AB54&lt;=Variables!$B$28</f>
        <v/>
      </c>
      <c r="Z54">
        <f>AB54&lt;=Variables!$B$18</f>
        <v/>
      </c>
      <c r="AA54" s="12">
        <f>AB53</f>
        <v/>
      </c>
      <c r="AB54" s="12">
        <f>AA54+Variables!$B$9-M54</f>
        <v/>
      </c>
      <c r="AC54" s="11">
        <f>IF(MOD(A54-1,Variables!$B$30)=0,Variables!$B$30*M54,0)</f>
        <v/>
      </c>
      <c r="AD54" s="12">
        <f>IF(A54=MATCH(TRUE,$Y$2:$Y$261,0),MAX($AB$2:$AB$261),IF(A54=MATCH(TRUE,$Y$2:$Y$261,0)-1,0,NA()))</f>
        <v/>
      </c>
      <c r="AE54" s="12">
        <f>IF(A54=MATCH(TRUE,$Z$2:$Z$261,0),MAX($AB$2:$AB$261),IF(A54=MATCH(TRUE,$Z$2:$Z$261,0)-1,0,NA()))</f>
        <v/>
      </c>
    </row>
    <row r="55">
      <c r="A55" t="n">
        <v>54</v>
      </c>
      <c r="B55" s="14">
        <f>Variables!$B$24+(A55-1)*7</f>
        <v/>
      </c>
      <c r="C55" s="12">
        <f>P54</f>
        <v/>
      </c>
      <c r="D55" s="12">
        <f>Q54</f>
        <v/>
      </c>
      <c r="E55" s="12">
        <f>C55+IF(A55&gt;Variables!$B$25,D55,0)</f>
        <v/>
      </c>
      <c r="F55" s="12">
        <f>C55+D55</f>
        <v/>
      </c>
      <c r="G55" s="11">
        <f>IF(A55&gt;Variables!$B$22,Variables!$B$12,0)</f>
        <v/>
      </c>
      <c r="H55" s="11">
        <f>IF(AND(A55&gt;Variables!$B$22,Variables!$B$14="Yes"),Variables!$B$13,0)</f>
        <v/>
      </c>
      <c r="I55" s="11">
        <f>IF(AA55&gt;Variables!$B$18,0,IF(AA55&gt;Variables!$B$19,CEILING((AA55-Variables!$B$19)/Variables!$B$21,1)*Variables!$B$20,0))</f>
        <v/>
      </c>
      <c r="J55" s="11">
        <f>IF(AA55&lt;=Variables!$B$18,MIN(Variables!$B$9-Variables!$B$8+I55,Variables!$B$26),0)</f>
        <v/>
      </c>
      <c r="K55" s="11">
        <f>IF(AA55&lt;=Variables!$B$18,Variables!$B$27,0)</f>
        <v/>
      </c>
      <c r="L55" s="11">
        <f>IF(AA55&gt;Variables!$B$18,G55+H55,Variables!$B$26-J55)</f>
        <v/>
      </c>
      <c r="M55" s="11">
        <f>IF(AA55&gt;Variables!$B$18,Variables!$B$2-G55-H55,J55+K55)</f>
        <v/>
      </c>
      <c r="N55" s="11">
        <f>Variables!$B$9-AC55</f>
        <v/>
      </c>
      <c r="O55" s="12">
        <f>F55+N55</f>
        <v/>
      </c>
      <c r="P55" s="12">
        <f>MAX(0,C55+N55)</f>
        <v/>
      </c>
      <c r="Q55" s="12">
        <f>D55+MIN(0,C55+N55)</f>
        <v/>
      </c>
      <c r="R55">
        <f>IF(AA55&gt;Variables!$B$18,"Self-funder",IF(AA55&gt;Variables!$B$19,"Tariff band - council contributing","Council pays standard rate"))</f>
        <v/>
      </c>
      <c r="S55" s="12">
        <f>Variables!$B$18</f>
        <v/>
      </c>
      <c r="T55" s="12">
        <f>Variables!$B$19</f>
        <v/>
      </c>
      <c r="U55">
        <f>AA55&lt;=Variables!$B$18</f>
        <v/>
      </c>
      <c r="V55">
        <f>AA55&lt;=Variables!$B$19</f>
        <v/>
      </c>
      <c r="W55">
        <f>P55&lt;=0</f>
        <v/>
      </c>
      <c r="X55" s="12">
        <f>Variables!$B$28</f>
        <v/>
      </c>
      <c r="Y55">
        <f>AB55&lt;=Variables!$B$28</f>
        <v/>
      </c>
      <c r="Z55">
        <f>AB55&lt;=Variables!$B$18</f>
        <v/>
      </c>
      <c r="AA55" s="12">
        <f>AB54</f>
        <v/>
      </c>
      <c r="AB55" s="12">
        <f>AA55+Variables!$B$9-M55</f>
        <v/>
      </c>
      <c r="AC55" s="11">
        <f>IF(MOD(A55-1,Variables!$B$30)=0,Variables!$B$30*M55,0)</f>
        <v/>
      </c>
      <c r="AD55" s="12">
        <f>IF(A55=MATCH(TRUE,$Y$2:$Y$261,0),MAX($AB$2:$AB$261),IF(A55=MATCH(TRUE,$Y$2:$Y$261,0)-1,0,NA()))</f>
        <v/>
      </c>
      <c r="AE55" s="12">
        <f>IF(A55=MATCH(TRUE,$Z$2:$Z$261,0),MAX($AB$2:$AB$261),IF(A55=MATCH(TRUE,$Z$2:$Z$261,0)-1,0,NA()))</f>
        <v/>
      </c>
    </row>
    <row r="56">
      <c r="A56" t="n">
        <v>55</v>
      </c>
      <c r="B56" s="14">
        <f>Variables!$B$24+(A56-1)*7</f>
        <v/>
      </c>
      <c r="C56" s="12">
        <f>P55</f>
        <v/>
      </c>
      <c r="D56" s="12">
        <f>Q55</f>
        <v/>
      </c>
      <c r="E56" s="12">
        <f>C56+IF(A56&gt;Variables!$B$25,D56,0)</f>
        <v/>
      </c>
      <c r="F56" s="12">
        <f>C56+D56</f>
        <v/>
      </c>
      <c r="G56" s="11">
        <f>IF(A56&gt;Variables!$B$22,Variables!$B$12,0)</f>
        <v/>
      </c>
      <c r="H56" s="11">
        <f>IF(AND(A56&gt;Variables!$B$22,Variables!$B$14="Yes"),Variables!$B$13,0)</f>
        <v/>
      </c>
      <c r="I56" s="11">
        <f>IF(AA56&gt;Variables!$B$18,0,IF(AA56&gt;Variables!$B$19,CEILING((AA56-Variables!$B$19)/Variables!$B$21,1)*Variables!$B$20,0))</f>
        <v/>
      </c>
      <c r="J56" s="11">
        <f>IF(AA56&lt;=Variables!$B$18,MIN(Variables!$B$9-Variables!$B$8+I56,Variables!$B$26),0)</f>
        <v/>
      </c>
      <c r="K56" s="11">
        <f>IF(AA56&lt;=Variables!$B$18,Variables!$B$27,0)</f>
        <v/>
      </c>
      <c r="L56" s="11">
        <f>IF(AA56&gt;Variables!$B$18,G56+H56,Variables!$B$26-J56)</f>
        <v/>
      </c>
      <c r="M56" s="11">
        <f>IF(AA56&gt;Variables!$B$18,Variables!$B$2-G56-H56,J56+K56)</f>
        <v/>
      </c>
      <c r="N56" s="11">
        <f>Variables!$B$9-AC56</f>
        <v/>
      </c>
      <c r="O56" s="12">
        <f>F56+N56</f>
        <v/>
      </c>
      <c r="P56" s="12">
        <f>MAX(0,C56+N56)</f>
        <v/>
      </c>
      <c r="Q56" s="12">
        <f>D56+MIN(0,C56+N56)</f>
        <v/>
      </c>
      <c r="R56">
        <f>IF(AA56&gt;Variables!$B$18,"Self-funder",IF(AA56&gt;Variables!$B$19,"Tariff band - council contributing","Council pays standard rate"))</f>
        <v/>
      </c>
      <c r="S56" s="12">
        <f>Variables!$B$18</f>
        <v/>
      </c>
      <c r="T56" s="12">
        <f>Variables!$B$19</f>
        <v/>
      </c>
      <c r="U56">
        <f>AA56&lt;=Variables!$B$18</f>
        <v/>
      </c>
      <c r="V56">
        <f>AA56&lt;=Variables!$B$19</f>
        <v/>
      </c>
      <c r="W56">
        <f>P56&lt;=0</f>
        <v/>
      </c>
      <c r="X56" s="12">
        <f>Variables!$B$28</f>
        <v/>
      </c>
      <c r="Y56">
        <f>AB56&lt;=Variables!$B$28</f>
        <v/>
      </c>
      <c r="Z56">
        <f>AB56&lt;=Variables!$B$18</f>
        <v/>
      </c>
      <c r="AA56" s="12">
        <f>AB55</f>
        <v/>
      </c>
      <c r="AB56" s="12">
        <f>AA56+Variables!$B$9-M56</f>
        <v/>
      </c>
      <c r="AC56" s="11">
        <f>IF(MOD(A56-1,Variables!$B$30)=0,Variables!$B$30*M56,0)</f>
        <v/>
      </c>
      <c r="AD56" s="12">
        <f>IF(A56=MATCH(TRUE,$Y$2:$Y$261,0),MAX($AB$2:$AB$261),IF(A56=MATCH(TRUE,$Y$2:$Y$261,0)-1,0,NA()))</f>
        <v/>
      </c>
      <c r="AE56" s="12">
        <f>IF(A56=MATCH(TRUE,$Z$2:$Z$261,0),MAX($AB$2:$AB$261),IF(A56=MATCH(TRUE,$Z$2:$Z$261,0)-1,0,NA()))</f>
        <v/>
      </c>
    </row>
    <row r="57">
      <c r="A57" t="n">
        <v>56</v>
      </c>
      <c r="B57" s="14">
        <f>Variables!$B$24+(A57-1)*7</f>
        <v/>
      </c>
      <c r="C57" s="12">
        <f>P56</f>
        <v/>
      </c>
      <c r="D57" s="12">
        <f>Q56</f>
        <v/>
      </c>
      <c r="E57" s="12">
        <f>C57+IF(A57&gt;Variables!$B$25,D57,0)</f>
        <v/>
      </c>
      <c r="F57" s="12">
        <f>C57+D57</f>
        <v/>
      </c>
      <c r="G57" s="11">
        <f>IF(A57&gt;Variables!$B$22,Variables!$B$12,0)</f>
        <v/>
      </c>
      <c r="H57" s="11">
        <f>IF(AND(A57&gt;Variables!$B$22,Variables!$B$14="Yes"),Variables!$B$13,0)</f>
        <v/>
      </c>
      <c r="I57" s="11">
        <f>IF(AA57&gt;Variables!$B$18,0,IF(AA57&gt;Variables!$B$19,CEILING((AA57-Variables!$B$19)/Variables!$B$21,1)*Variables!$B$20,0))</f>
        <v/>
      </c>
      <c r="J57" s="11">
        <f>IF(AA57&lt;=Variables!$B$18,MIN(Variables!$B$9-Variables!$B$8+I57,Variables!$B$26),0)</f>
        <v/>
      </c>
      <c r="K57" s="11">
        <f>IF(AA57&lt;=Variables!$B$18,Variables!$B$27,0)</f>
        <v/>
      </c>
      <c r="L57" s="11">
        <f>IF(AA57&gt;Variables!$B$18,G57+H57,Variables!$B$26-J57)</f>
        <v/>
      </c>
      <c r="M57" s="11">
        <f>IF(AA57&gt;Variables!$B$18,Variables!$B$2-G57-H57,J57+K57)</f>
        <v/>
      </c>
      <c r="N57" s="11">
        <f>Variables!$B$9-AC57</f>
        <v/>
      </c>
      <c r="O57" s="12">
        <f>F57+N57</f>
        <v/>
      </c>
      <c r="P57" s="12">
        <f>MAX(0,C57+N57)</f>
        <v/>
      </c>
      <c r="Q57" s="12">
        <f>D57+MIN(0,C57+N57)</f>
        <v/>
      </c>
      <c r="R57">
        <f>IF(AA57&gt;Variables!$B$18,"Self-funder",IF(AA57&gt;Variables!$B$19,"Tariff band - council contributing","Council pays standard rate"))</f>
        <v/>
      </c>
      <c r="S57" s="12">
        <f>Variables!$B$18</f>
        <v/>
      </c>
      <c r="T57" s="12">
        <f>Variables!$B$19</f>
        <v/>
      </c>
      <c r="U57">
        <f>AA57&lt;=Variables!$B$18</f>
        <v/>
      </c>
      <c r="V57">
        <f>AA57&lt;=Variables!$B$19</f>
        <v/>
      </c>
      <c r="W57">
        <f>P57&lt;=0</f>
        <v/>
      </c>
      <c r="X57" s="12">
        <f>Variables!$B$28</f>
        <v/>
      </c>
      <c r="Y57">
        <f>AB57&lt;=Variables!$B$28</f>
        <v/>
      </c>
      <c r="Z57">
        <f>AB57&lt;=Variables!$B$18</f>
        <v/>
      </c>
      <c r="AA57" s="12">
        <f>AB56</f>
        <v/>
      </c>
      <c r="AB57" s="12">
        <f>AA57+Variables!$B$9-M57</f>
        <v/>
      </c>
      <c r="AC57" s="11">
        <f>IF(MOD(A57-1,Variables!$B$30)=0,Variables!$B$30*M57,0)</f>
        <v/>
      </c>
      <c r="AD57" s="12">
        <f>IF(A57=MATCH(TRUE,$Y$2:$Y$261,0),MAX($AB$2:$AB$261),IF(A57=MATCH(TRUE,$Y$2:$Y$261,0)-1,0,NA()))</f>
        <v/>
      </c>
      <c r="AE57" s="12">
        <f>IF(A57=MATCH(TRUE,$Z$2:$Z$261,0),MAX($AB$2:$AB$261),IF(A57=MATCH(TRUE,$Z$2:$Z$261,0)-1,0,NA()))</f>
        <v/>
      </c>
    </row>
    <row r="58">
      <c r="A58" t="n">
        <v>57</v>
      </c>
      <c r="B58" s="14">
        <f>Variables!$B$24+(A58-1)*7</f>
        <v/>
      </c>
      <c r="C58" s="12">
        <f>P57</f>
        <v/>
      </c>
      <c r="D58" s="12">
        <f>Q57</f>
        <v/>
      </c>
      <c r="E58" s="12">
        <f>C58+IF(A58&gt;Variables!$B$25,D58,0)</f>
        <v/>
      </c>
      <c r="F58" s="12">
        <f>C58+D58</f>
        <v/>
      </c>
      <c r="G58" s="11">
        <f>IF(A58&gt;Variables!$B$22,Variables!$B$12,0)</f>
        <v/>
      </c>
      <c r="H58" s="11">
        <f>IF(AND(A58&gt;Variables!$B$22,Variables!$B$14="Yes"),Variables!$B$13,0)</f>
        <v/>
      </c>
      <c r="I58" s="11">
        <f>IF(AA58&gt;Variables!$B$18,0,IF(AA58&gt;Variables!$B$19,CEILING((AA58-Variables!$B$19)/Variables!$B$21,1)*Variables!$B$20,0))</f>
        <v/>
      </c>
      <c r="J58" s="11">
        <f>IF(AA58&lt;=Variables!$B$18,MIN(Variables!$B$9-Variables!$B$8+I58,Variables!$B$26),0)</f>
        <v/>
      </c>
      <c r="K58" s="11">
        <f>IF(AA58&lt;=Variables!$B$18,Variables!$B$27,0)</f>
        <v/>
      </c>
      <c r="L58" s="11">
        <f>IF(AA58&gt;Variables!$B$18,G58+H58,Variables!$B$26-J58)</f>
        <v/>
      </c>
      <c r="M58" s="11">
        <f>IF(AA58&gt;Variables!$B$18,Variables!$B$2-G58-H58,J58+K58)</f>
        <v/>
      </c>
      <c r="N58" s="11">
        <f>Variables!$B$9-AC58</f>
        <v/>
      </c>
      <c r="O58" s="12">
        <f>F58+N58</f>
        <v/>
      </c>
      <c r="P58" s="12">
        <f>MAX(0,C58+N58)</f>
        <v/>
      </c>
      <c r="Q58" s="12">
        <f>D58+MIN(0,C58+N58)</f>
        <v/>
      </c>
      <c r="R58">
        <f>IF(AA58&gt;Variables!$B$18,"Self-funder",IF(AA58&gt;Variables!$B$19,"Tariff band - council contributing","Council pays standard rate"))</f>
        <v/>
      </c>
      <c r="S58" s="12">
        <f>Variables!$B$18</f>
        <v/>
      </c>
      <c r="T58" s="12">
        <f>Variables!$B$19</f>
        <v/>
      </c>
      <c r="U58">
        <f>AA58&lt;=Variables!$B$18</f>
        <v/>
      </c>
      <c r="V58">
        <f>AA58&lt;=Variables!$B$19</f>
        <v/>
      </c>
      <c r="W58">
        <f>P58&lt;=0</f>
        <v/>
      </c>
      <c r="X58" s="12">
        <f>Variables!$B$28</f>
        <v/>
      </c>
      <c r="Y58">
        <f>AB58&lt;=Variables!$B$28</f>
        <v/>
      </c>
      <c r="Z58">
        <f>AB58&lt;=Variables!$B$18</f>
        <v/>
      </c>
      <c r="AA58" s="12">
        <f>AB57</f>
        <v/>
      </c>
      <c r="AB58" s="12">
        <f>AA58+Variables!$B$9-M58</f>
        <v/>
      </c>
      <c r="AC58" s="11">
        <f>IF(MOD(A58-1,Variables!$B$30)=0,Variables!$B$30*M58,0)</f>
        <v/>
      </c>
      <c r="AD58" s="12">
        <f>IF(A58=MATCH(TRUE,$Y$2:$Y$261,0),MAX($AB$2:$AB$261),IF(A58=MATCH(TRUE,$Y$2:$Y$261,0)-1,0,NA()))</f>
        <v/>
      </c>
      <c r="AE58" s="12">
        <f>IF(A58=MATCH(TRUE,$Z$2:$Z$261,0),MAX($AB$2:$AB$261),IF(A58=MATCH(TRUE,$Z$2:$Z$261,0)-1,0,NA()))</f>
        <v/>
      </c>
    </row>
    <row r="59">
      <c r="A59" t="n">
        <v>58</v>
      </c>
      <c r="B59" s="14">
        <f>Variables!$B$24+(A59-1)*7</f>
        <v/>
      </c>
      <c r="C59" s="12">
        <f>P58</f>
        <v/>
      </c>
      <c r="D59" s="12">
        <f>Q58</f>
        <v/>
      </c>
      <c r="E59" s="12">
        <f>C59+IF(A59&gt;Variables!$B$25,D59,0)</f>
        <v/>
      </c>
      <c r="F59" s="12">
        <f>C59+D59</f>
        <v/>
      </c>
      <c r="G59" s="11">
        <f>IF(A59&gt;Variables!$B$22,Variables!$B$12,0)</f>
        <v/>
      </c>
      <c r="H59" s="11">
        <f>IF(AND(A59&gt;Variables!$B$22,Variables!$B$14="Yes"),Variables!$B$13,0)</f>
        <v/>
      </c>
      <c r="I59" s="11">
        <f>IF(AA59&gt;Variables!$B$18,0,IF(AA59&gt;Variables!$B$19,CEILING((AA59-Variables!$B$19)/Variables!$B$21,1)*Variables!$B$20,0))</f>
        <v/>
      </c>
      <c r="J59" s="11">
        <f>IF(AA59&lt;=Variables!$B$18,MIN(Variables!$B$9-Variables!$B$8+I59,Variables!$B$26),0)</f>
        <v/>
      </c>
      <c r="K59" s="11">
        <f>IF(AA59&lt;=Variables!$B$18,Variables!$B$27,0)</f>
        <v/>
      </c>
      <c r="L59" s="11">
        <f>IF(AA59&gt;Variables!$B$18,G59+H59,Variables!$B$26-J59)</f>
        <v/>
      </c>
      <c r="M59" s="11">
        <f>IF(AA59&gt;Variables!$B$18,Variables!$B$2-G59-H59,J59+K59)</f>
        <v/>
      </c>
      <c r="N59" s="11">
        <f>Variables!$B$9-AC59</f>
        <v/>
      </c>
      <c r="O59" s="12">
        <f>F59+N59</f>
        <v/>
      </c>
      <c r="P59" s="12">
        <f>MAX(0,C59+N59)</f>
        <v/>
      </c>
      <c r="Q59" s="12">
        <f>D59+MIN(0,C59+N59)</f>
        <v/>
      </c>
      <c r="R59">
        <f>IF(AA59&gt;Variables!$B$18,"Self-funder",IF(AA59&gt;Variables!$B$19,"Tariff band - council contributing","Council pays standard rate"))</f>
        <v/>
      </c>
      <c r="S59" s="12">
        <f>Variables!$B$18</f>
        <v/>
      </c>
      <c r="T59" s="12">
        <f>Variables!$B$19</f>
        <v/>
      </c>
      <c r="U59">
        <f>AA59&lt;=Variables!$B$18</f>
        <v/>
      </c>
      <c r="V59">
        <f>AA59&lt;=Variables!$B$19</f>
        <v/>
      </c>
      <c r="W59">
        <f>P59&lt;=0</f>
        <v/>
      </c>
      <c r="X59" s="12">
        <f>Variables!$B$28</f>
        <v/>
      </c>
      <c r="Y59">
        <f>AB59&lt;=Variables!$B$28</f>
        <v/>
      </c>
      <c r="Z59">
        <f>AB59&lt;=Variables!$B$18</f>
        <v/>
      </c>
      <c r="AA59" s="12">
        <f>AB58</f>
        <v/>
      </c>
      <c r="AB59" s="12">
        <f>AA59+Variables!$B$9-M59</f>
        <v/>
      </c>
      <c r="AC59" s="11">
        <f>IF(MOD(A59-1,Variables!$B$30)=0,Variables!$B$30*M59,0)</f>
        <v/>
      </c>
      <c r="AD59" s="12">
        <f>IF(A59=MATCH(TRUE,$Y$2:$Y$261,0),MAX($AB$2:$AB$261),IF(A59=MATCH(TRUE,$Y$2:$Y$261,0)-1,0,NA()))</f>
        <v/>
      </c>
      <c r="AE59" s="12">
        <f>IF(A59=MATCH(TRUE,$Z$2:$Z$261,0),MAX($AB$2:$AB$261),IF(A59=MATCH(TRUE,$Z$2:$Z$261,0)-1,0,NA()))</f>
        <v/>
      </c>
    </row>
    <row r="60">
      <c r="A60" t="n">
        <v>59</v>
      </c>
      <c r="B60" s="14">
        <f>Variables!$B$24+(A60-1)*7</f>
        <v/>
      </c>
      <c r="C60" s="12">
        <f>P59</f>
        <v/>
      </c>
      <c r="D60" s="12">
        <f>Q59</f>
        <v/>
      </c>
      <c r="E60" s="12">
        <f>C60+IF(A60&gt;Variables!$B$25,D60,0)</f>
        <v/>
      </c>
      <c r="F60" s="12">
        <f>C60+D60</f>
        <v/>
      </c>
      <c r="G60" s="11">
        <f>IF(A60&gt;Variables!$B$22,Variables!$B$12,0)</f>
        <v/>
      </c>
      <c r="H60" s="11">
        <f>IF(AND(A60&gt;Variables!$B$22,Variables!$B$14="Yes"),Variables!$B$13,0)</f>
        <v/>
      </c>
      <c r="I60" s="11">
        <f>IF(AA60&gt;Variables!$B$18,0,IF(AA60&gt;Variables!$B$19,CEILING((AA60-Variables!$B$19)/Variables!$B$21,1)*Variables!$B$20,0))</f>
        <v/>
      </c>
      <c r="J60" s="11">
        <f>IF(AA60&lt;=Variables!$B$18,MIN(Variables!$B$9-Variables!$B$8+I60,Variables!$B$26),0)</f>
        <v/>
      </c>
      <c r="K60" s="11">
        <f>IF(AA60&lt;=Variables!$B$18,Variables!$B$27,0)</f>
        <v/>
      </c>
      <c r="L60" s="11">
        <f>IF(AA60&gt;Variables!$B$18,G60+H60,Variables!$B$26-J60)</f>
        <v/>
      </c>
      <c r="M60" s="11">
        <f>IF(AA60&gt;Variables!$B$18,Variables!$B$2-G60-H60,J60+K60)</f>
        <v/>
      </c>
      <c r="N60" s="11">
        <f>Variables!$B$9-AC60</f>
        <v/>
      </c>
      <c r="O60" s="12">
        <f>F60+N60</f>
        <v/>
      </c>
      <c r="P60" s="12">
        <f>MAX(0,C60+N60)</f>
        <v/>
      </c>
      <c r="Q60" s="12">
        <f>D60+MIN(0,C60+N60)</f>
        <v/>
      </c>
      <c r="R60">
        <f>IF(AA60&gt;Variables!$B$18,"Self-funder",IF(AA60&gt;Variables!$B$19,"Tariff band - council contributing","Council pays standard rate"))</f>
        <v/>
      </c>
      <c r="S60" s="12">
        <f>Variables!$B$18</f>
        <v/>
      </c>
      <c r="T60" s="12">
        <f>Variables!$B$19</f>
        <v/>
      </c>
      <c r="U60">
        <f>AA60&lt;=Variables!$B$18</f>
        <v/>
      </c>
      <c r="V60">
        <f>AA60&lt;=Variables!$B$19</f>
        <v/>
      </c>
      <c r="W60">
        <f>P60&lt;=0</f>
        <v/>
      </c>
      <c r="X60" s="12">
        <f>Variables!$B$28</f>
        <v/>
      </c>
      <c r="Y60">
        <f>AB60&lt;=Variables!$B$28</f>
        <v/>
      </c>
      <c r="Z60">
        <f>AB60&lt;=Variables!$B$18</f>
        <v/>
      </c>
      <c r="AA60" s="12">
        <f>AB59</f>
        <v/>
      </c>
      <c r="AB60" s="12">
        <f>AA60+Variables!$B$9-M60</f>
        <v/>
      </c>
      <c r="AC60" s="11">
        <f>IF(MOD(A60-1,Variables!$B$30)=0,Variables!$B$30*M60,0)</f>
        <v/>
      </c>
      <c r="AD60" s="12">
        <f>IF(A60=MATCH(TRUE,$Y$2:$Y$261,0),MAX($AB$2:$AB$261),IF(A60=MATCH(TRUE,$Y$2:$Y$261,0)-1,0,NA()))</f>
        <v/>
      </c>
      <c r="AE60" s="12">
        <f>IF(A60=MATCH(TRUE,$Z$2:$Z$261,0),MAX($AB$2:$AB$261),IF(A60=MATCH(TRUE,$Z$2:$Z$261,0)-1,0,NA()))</f>
        <v/>
      </c>
    </row>
    <row r="61">
      <c r="A61" t="n">
        <v>60</v>
      </c>
      <c r="B61" s="14">
        <f>Variables!$B$24+(A61-1)*7</f>
        <v/>
      </c>
      <c r="C61" s="12">
        <f>P60</f>
        <v/>
      </c>
      <c r="D61" s="12">
        <f>Q60</f>
        <v/>
      </c>
      <c r="E61" s="12">
        <f>C61+IF(A61&gt;Variables!$B$25,D61,0)</f>
        <v/>
      </c>
      <c r="F61" s="12">
        <f>C61+D61</f>
        <v/>
      </c>
      <c r="G61" s="11">
        <f>IF(A61&gt;Variables!$B$22,Variables!$B$12,0)</f>
        <v/>
      </c>
      <c r="H61" s="11">
        <f>IF(AND(A61&gt;Variables!$B$22,Variables!$B$14="Yes"),Variables!$B$13,0)</f>
        <v/>
      </c>
      <c r="I61" s="11">
        <f>IF(AA61&gt;Variables!$B$18,0,IF(AA61&gt;Variables!$B$19,CEILING((AA61-Variables!$B$19)/Variables!$B$21,1)*Variables!$B$20,0))</f>
        <v/>
      </c>
      <c r="J61" s="11">
        <f>IF(AA61&lt;=Variables!$B$18,MIN(Variables!$B$9-Variables!$B$8+I61,Variables!$B$26),0)</f>
        <v/>
      </c>
      <c r="K61" s="11">
        <f>IF(AA61&lt;=Variables!$B$18,Variables!$B$27,0)</f>
        <v/>
      </c>
      <c r="L61" s="11">
        <f>IF(AA61&gt;Variables!$B$18,G61+H61,Variables!$B$26-J61)</f>
        <v/>
      </c>
      <c r="M61" s="11">
        <f>IF(AA61&gt;Variables!$B$18,Variables!$B$2-G61-H61,J61+K61)</f>
        <v/>
      </c>
      <c r="N61" s="11">
        <f>Variables!$B$9-AC61</f>
        <v/>
      </c>
      <c r="O61" s="12">
        <f>F61+N61</f>
        <v/>
      </c>
      <c r="P61" s="12">
        <f>MAX(0,C61+N61)</f>
        <v/>
      </c>
      <c r="Q61" s="12">
        <f>D61+MIN(0,C61+N61)</f>
        <v/>
      </c>
      <c r="R61">
        <f>IF(AA61&gt;Variables!$B$18,"Self-funder",IF(AA61&gt;Variables!$B$19,"Tariff band - council contributing","Council pays standard rate"))</f>
        <v/>
      </c>
      <c r="S61" s="12">
        <f>Variables!$B$18</f>
        <v/>
      </c>
      <c r="T61" s="12">
        <f>Variables!$B$19</f>
        <v/>
      </c>
      <c r="U61">
        <f>AA61&lt;=Variables!$B$18</f>
        <v/>
      </c>
      <c r="V61">
        <f>AA61&lt;=Variables!$B$19</f>
        <v/>
      </c>
      <c r="W61">
        <f>P61&lt;=0</f>
        <v/>
      </c>
      <c r="X61" s="12">
        <f>Variables!$B$28</f>
        <v/>
      </c>
      <c r="Y61">
        <f>AB61&lt;=Variables!$B$28</f>
        <v/>
      </c>
      <c r="Z61">
        <f>AB61&lt;=Variables!$B$18</f>
        <v/>
      </c>
      <c r="AA61" s="12">
        <f>AB60</f>
        <v/>
      </c>
      <c r="AB61" s="12">
        <f>AA61+Variables!$B$9-M61</f>
        <v/>
      </c>
      <c r="AC61" s="11">
        <f>IF(MOD(A61-1,Variables!$B$30)=0,Variables!$B$30*M61,0)</f>
        <v/>
      </c>
      <c r="AD61" s="12">
        <f>IF(A61=MATCH(TRUE,$Y$2:$Y$261,0),MAX($AB$2:$AB$261),IF(A61=MATCH(TRUE,$Y$2:$Y$261,0)-1,0,NA()))</f>
        <v/>
      </c>
      <c r="AE61" s="12">
        <f>IF(A61=MATCH(TRUE,$Z$2:$Z$261,0),MAX($AB$2:$AB$261),IF(A61=MATCH(TRUE,$Z$2:$Z$261,0)-1,0,NA()))</f>
        <v/>
      </c>
    </row>
    <row r="62">
      <c r="A62" t="n">
        <v>61</v>
      </c>
      <c r="B62" s="14">
        <f>Variables!$B$24+(A62-1)*7</f>
        <v/>
      </c>
      <c r="C62" s="12">
        <f>P61</f>
        <v/>
      </c>
      <c r="D62" s="12">
        <f>Q61</f>
        <v/>
      </c>
      <c r="E62" s="12">
        <f>C62+IF(A62&gt;Variables!$B$25,D62,0)</f>
        <v/>
      </c>
      <c r="F62" s="12">
        <f>C62+D62</f>
        <v/>
      </c>
      <c r="G62" s="11">
        <f>IF(A62&gt;Variables!$B$22,Variables!$B$12,0)</f>
        <v/>
      </c>
      <c r="H62" s="11">
        <f>IF(AND(A62&gt;Variables!$B$22,Variables!$B$14="Yes"),Variables!$B$13,0)</f>
        <v/>
      </c>
      <c r="I62" s="11">
        <f>IF(AA62&gt;Variables!$B$18,0,IF(AA62&gt;Variables!$B$19,CEILING((AA62-Variables!$B$19)/Variables!$B$21,1)*Variables!$B$20,0))</f>
        <v/>
      </c>
      <c r="J62" s="11">
        <f>IF(AA62&lt;=Variables!$B$18,MIN(Variables!$B$9-Variables!$B$8+I62,Variables!$B$26),0)</f>
        <v/>
      </c>
      <c r="K62" s="11">
        <f>IF(AA62&lt;=Variables!$B$18,Variables!$B$27,0)</f>
        <v/>
      </c>
      <c r="L62" s="11">
        <f>IF(AA62&gt;Variables!$B$18,G62+H62,Variables!$B$26-J62)</f>
        <v/>
      </c>
      <c r="M62" s="11">
        <f>IF(AA62&gt;Variables!$B$18,Variables!$B$2-G62-H62,J62+K62)</f>
        <v/>
      </c>
      <c r="N62" s="11">
        <f>Variables!$B$9-AC62</f>
        <v/>
      </c>
      <c r="O62" s="12">
        <f>F62+N62</f>
        <v/>
      </c>
      <c r="P62" s="12">
        <f>MAX(0,C62+N62)</f>
        <v/>
      </c>
      <c r="Q62" s="12">
        <f>D62+MIN(0,C62+N62)</f>
        <v/>
      </c>
      <c r="R62">
        <f>IF(AA62&gt;Variables!$B$18,"Self-funder",IF(AA62&gt;Variables!$B$19,"Tariff band - council contributing","Council pays standard rate"))</f>
        <v/>
      </c>
      <c r="S62" s="12">
        <f>Variables!$B$18</f>
        <v/>
      </c>
      <c r="T62" s="12">
        <f>Variables!$B$19</f>
        <v/>
      </c>
      <c r="U62">
        <f>AA62&lt;=Variables!$B$18</f>
        <v/>
      </c>
      <c r="V62">
        <f>AA62&lt;=Variables!$B$19</f>
        <v/>
      </c>
      <c r="W62">
        <f>P62&lt;=0</f>
        <v/>
      </c>
      <c r="X62" s="12">
        <f>Variables!$B$28</f>
        <v/>
      </c>
      <c r="Y62">
        <f>AB62&lt;=Variables!$B$28</f>
        <v/>
      </c>
      <c r="Z62">
        <f>AB62&lt;=Variables!$B$18</f>
        <v/>
      </c>
      <c r="AA62" s="12">
        <f>AB61</f>
        <v/>
      </c>
      <c r="AB62" s="12">
        <f>AA62+Variables!$B$9-M62</f>
        <v/>
      </c>
      <c r="AC62" s="11">
        <f>IF(MOD(A62-1,Variables!$B$30)=0,Variables!$B$30*M62,0)</f>
        <v/>
      </c>
      <c r="AD62" s="12">
        <f>IF(A62=MATCH(TRUE,$Y$2:$Y$261,0),MAX($AB$2:$AB$261),IF(A62=MATCH(TRUE,$Y$2:$Y$261,0)-1,0,NA()))</f>
        <v/>
      </c>
      <c r="AE62" s="12">
        <f>IF(A62=MATCH(TRUE,$Z$2:$Z$261,0),MAX($AB$2:$AB$261),IF(A62=MATCH(TRUE,$Z$2:$Z$261,0)-1,0,NA()))</f>
        <v/>
      </c>
    </row>
    <row r="63">
      <c r="A63" t="n">
        <v>62</v>
      </c>
      <c r="B63" s="14">
        <f>Variables!$B$24+(A63-1)*7</f>
        <v/>
      </c>
      <c r="C63" s="12">
        <f>P62</f>
        <v/>
      </c>
      <c r="D63" s="12">
        <f>Q62</f>
        <v/>
      </c>
      <c r="E63" s="12">
        <f>C63+IF(A63&gt;Variables!$B$25,D63,0)</f>
        <v/>
      </c>
      <c r="F63" s="12">
        <f>C63+D63</f>
        <v/>
      </c>
      <c r="G63" s="11">
        <f>IF(A63&gt;Variables!$B$22,Variables!$B$12,0)</f>
        <v/>
      </c>
      <c r="H63" s="11">
        <f>IF(AND(A63&gt;Variables!$B$22,Variables!$B$14="Yes"),Variables!$B$13,0)</f>
        <v/>
      </c>
      <c r="I63" s="11">
        <f>IF(AA63&gt;Variables!$B$18,0,IF(AA63&gt;Variables!$B$19,CEILING((AA63-Variables!$B$19)/Variables!$B$21,1)*Variables!$B$20,0))</f>
        <v/>
      </c>
      <c r="J63" s="11">
        <f>IF(AA63&lt;=Variables!$B$18,MIN(Variables!$B$9-Variables!$B$8+I63,Variables!$B$26),0)</f>
        <v/>
      </c>
      <c r="K63" s="11">
        <f>IF(AA63&lt;=Variables!$B$18,Variables!$B$27,0)</f>
        <v/>
      </c>
      <c r="L63" s="11">
        <f>IF(AA63&gt;Variables!$B$18,G63+H63,Variables!$B$26-J63)</f>
        <v/>
      </c>
      <c r="M63" s="11">
        <f>IF(AA63&gt;Variables!$B$18,Variables!$B$2-G63-H63,J63+K63)</f>
        <v/>
      </c>
      <c r="N63" s="11">
        <f>Variables!$B$9-AC63</f>
        <v/>
      </c>
      <c r="O63" s="12">
        <f>F63+N63</f>
        <v/>
      </c>
      <c r="P63" s="12">
        <f>MAX(0,C63+N63)</f>
        <v/>
      </c>
      <c r="Q63" s="12">
        <f>D63+MIN(0,C63+N63)</f>
        <v/>
      </c>
      <c r="R63">
        <f>IF(AA63&gt;Variables!$B$18,"Self-funder",IF(AA63&gt;Variables!$B$19,"Tariff band - council contributing","Council pays standard rate"))</f>
        <v/>
      </c>
      <c r="S63" s="12">
        <f>Variables!$B$18</f>
        <v/>
      </c>
      <c r="T63" s="12">
        <f>Variables!$B$19</f>
        <v/>
      </c>
      <c r="U63">
        <f>AA63&lt;=Variables!$B$18</f>
        <v/>
      </c>
      <c r="V63">
        <f>AA63&lt;=Variables!$B$19</f>
        <v/>
      </c>
      <c r="W63">
        <f>P63&lt;=0</f>
        <v/>
      </c>
      <c r="X63" s="12">
        <f>Variables!$B$28</f>
        <v/>
      </c>
      <c r="Y63">
        <f>AB63&lt;=Variables!$B$28</f>
        <v/>
      </c>
      <c r="Z63">
        <f>AB63&lt;=Variables!$B$18</f>
        <v/>
      </c>
      <c r="AA63" s="12">
        <f>AB62</f>
        <v/>
      </c>
      <c r="AB63" s="12">
        <f>AA63+Variables!$B$9-M63</f>
        <v/>
      </c>
      <c r="AC63" s="11">
        <f>IF(MOD(A63-1,Variables!$B$30)=0,Variables!$B$30*M63,0)</f>
        <v/>
      </c>
      <c r="AD63" s="12">
        <f>IF(A63=MATCH(TRUE,$Y$2:$Y$261,0),MAX($AB$2:$AB$261),IF(A63=MATCH(TRUE,$Y$2:$Y$261,0)-1,0,NA()))</f>
        <v/>
      </c>
      <c r="AE63" s="12">
        <f>IF(A63=MATCH(TRUE,$Z$2:$Z$261,0),MAX($AB$2:$AB$261),IF(A63=MATCH(TRUE,$Z$2:$Z$261,0)-1,0,NA()))</f>
        <v/>
      </c>
    </row>
    <row r="64">
      <c r="A64" t="n">
        <v>63</v>
      </c>
      <c r="B64" s="14">
        <f>Variables!$B$24+(A64-1)*7</f>
        <v/>
      </c>
      <c r="C64" s="12">
        <f>P63</f>
        <v/>
      </c>
      <c r="D64" s="12">
        <f>Q63</f>
        <v/>
      </c>
      <c r="E64" s="12">
        <f>C64+IF(A64&gt;Variables!$B$25,D64,0)</f>
        <v/>
      </c>
      <c r="F64" s="12">
        <f>C64+D64</f>
        <v/>
      </c>
      <c r="G64" s="11">
        <f>IF(A64&gt;Variables!$B$22,Variables!$B$12,0)</f>
        <v/>
      </c>
      <c r="H64" s="11">
        <f>IF(AND(A64&gt;Variables!$B$22,Variables!$B$14="Yes"),Variables!$B$13,0)</f>
        <v/>
      </c>
      <c r="I64" s="11">
        <f>IF(AA64&gt;Variables!$B$18,0,IF(AA64&gt;Variables!$B$19,CEILING((AA64-Variables!$B$19)/Variables!$B$21,1)*Variables!$B$20,0))</f>
        <v/>
      </c>
      <c r="J64" s="11">
        <f>IF(AA64&lt;=Variables!$B$18,MIN(Variables!$B$9-Variables!$B$8+I64,Variables!$B$26),0)</f>
        <v/>
      </c>
      <c r="K64" s="11">
        <f>IF(AA64&lt;=Variables!$B$18,Variables!$B$27,0)</f>
        <v/>
      </c>
      <c r="L64" s="11">
        <f>IF(AA64&gt;Variables!$B$18,G64+H64,Variables!$B$26-J64)</f>
        <v/>
      </c>
      <c r="M64" s="11">
        <f>IF(AA64&gt;Variables!$B$18,Variables!$B$2-G64-H64,J64+K64)</f>
        <v/>
      </c>
      <c r="N64" s="11">
        <f>Variables!$B$9-AC64</f>
        <v/>
      </c>
      <c r="O64" s="12">
        <f>F64+N64</f>
        <v/>
      </c>
      <c r="P64" s="12">
        <f>MAX(0,C64+N64)</f>
        <v/>
      </c>
      <c r="Q64" s="12">
        <f>D64+MIN(0,C64+N64)</f>
        <v/>
      </c>
      <c r="R64">
        <f>IF(AA64&gt;Variables!$B$18,"Self-funder",IF(AA64&gt;Variables!$B$19,"Tariff band - council contributing","Council pays standard rate"))</f>
        <v/>
      </c>
      <c r="S64" s="12">
        <f>Variables!$B$18</f>
        <v/>
      </c>
      <c r="T64" s="12">
        <f>Variables!$B$19</f>
        <v/>
      </c>
      <c r="U64">
        <f>AA64&lt;=Variables!$B$18</f>
        <v/>
      </c>
      <c r="V64">
        <f>AA64&lt;=Variables!$B$19</f>
        <v/>
      </c>
      <c r="W64">
        <f>P64&lt;=0</f>
        <v/>
      </c>
      <c r="X64" s="12">
        <f>Variables!$B$28</f>
        <v/>
      </c>
      <c r="Y64">
        <f>AB64&lt;=Variables!$B$28</f>
        <v/>
      </c>
      <c r="Z64">
        <f>AB64&lt;=Variables!$B$18</f>
        <v/>
      </c>
      <c r="AA64" s="12">
        <f>AB63</f>
        <v/>
      </c>
      <c r="AB64" s="12">
        <f>AA64+Variables!$B$9-M64</f>
        <v/>
      </c>
      <c r="AC64" s="11">
        <f>IF(MOD(A64-1,Variables!$B$30)=0,Variables!$B$30*M64,0)</f>
        <v/>
      </c>
      <c r="AD64" s="12">
        <f>IF(A64=MATCH(TRUE,$Y$2:$Y$261,0),MAX($AB$2:$AB$261),IF(A64=MATCH(TRUE,$Y$2:$Y$261,0)-1,0,NA()))</f>
        <v/>
      </c>
      <c r="AE64" s="12">
        <f>IF(A64=MATCH(TRUE,$Z$2:$Z$261,0),MAX($AB$2:$AB$261),IF(A64=MATCH(TRUE,$Z$2:$Z$261,0)-1,0,NA()))</f>
        <v/>
      </c>
    </row>
    <row r="65">
      <c r="A65" t="n">
        <v>64</v>
      </c>
      <c r="B65" s="14">
        <f>Variables!$B$24+(A65-1)*7</f>
        <v/>
      </c>
      <c r="C65" s="12">
        <f>P64</f>
        <v/>
      </c>
      <c r="D65" s="12">
        <f>Q64</f>
        <v/>
      </c>
      <c r="E65" s="12">
        <f>C65+IF(A65&gt;Variables!$B$25,D65,0)</f>
        <v/>
      </c>
      <c r="F65" s="12">
        <f>C65+D65</f>
        <v/>
      </c>
      <c r="G65" s="11">
        <f>IF(A65&gt;Variables!$B$22,Variables!$B$12,0)</f>
        <v/>
      </c>
      <c r="H65" s="11">
        <f>IF(AND(A65&gt;Variables!$B$22,Variables!$B$14="Yes"),Variables!$B$13,0)</f>
        <v/>
      </c>
      <c r="I65" s="11">
        <f>IF(AA65&gt;Variables!$B$18,0,IF(AA65&gt;Variables!$B$19,CEILING((AA65-Variables!$B$19)/Variables!$B$21,1)*Variables!$B$20,0))</f>
        <v/>
      </c>
      <c r="J65" s="11">
        <f>IF(AA65&lt;=Variables!$B$18,MIN(Variables!$B$9-Variables!$B$8+I65,Variables!$B$26),0)</f>
        <v/>
      </c>
      <c r="K65" s="11">
        <f>IF(AA65&lt;=Variables!$B$18,Variables!$B$27,0)</f>
        <v/>
      </c>
      <c r="L65" s="11">
        <f>IF(AA65&gt;Variables!$B$18,G65+H65,Variables!$B$26-J65)</f>
        <v/>
      </c>
      <c r="M65" s="11">
        <f>IF(AA65&gt;Variables!$B$18,Variables!$B$2-G65-H65,J65+K65)</f>
        <v/>
      </c>
      <c r="N65" s="11">
        <f>Variables!$B$9-AC65</f>
        <v/>
      </c>
      <c r="O65" s="12">
        <f>F65+N65</f>
        <v/>
      </c>
      <c r="P65" s="12">
        <f>MAX(0,C65+N65)</f>
        <v/>
      </c>
      <c r="Q65" s="12">
        <f>D65+MIN(0,C65+N65)</f>
        <v/>
      </c>
      <c r="R65">
        <f>IF(AA65&gt;Variables!$B$18,"Self-funder",IF(AA65&gt;Variables!$B$19,"Tariff band - council contributing","Council pays standard rate"))</f>
        <v/>
      </c>
      <c r="S65" s="12">
        <f>Variables!$B$18</f>
        <v/>
      </c>
      <c r="T65" s="12">
        <f>Variables!$B$19</f>
        <v/>
      </c>
      <c r="U65">
        <f>AA65&lt;=Variables!$B$18</f>
        <v/>
      </c>
      <c r="V65">
        <f>AA65&lt;=Variables!$B$19</f>
        <v/>
      </c>
      <c r="W65">
        <f>P65&lt;=0</f>
        <v/>
      </c>
      <c r="X65" s="12">
        <f>Variables!$B$28</f>
        <v/>
      </c>
      <c r="Y65">
        <f>AB65&lt;=Variables!$B$28</f>
        <v/>
      </c>
      <c r="Z65">
        <f>AB65&lt;=Variables!$B$18</f>
        <v/>
      </c>
      <c r="AA65" s="12">
        <f>AB64</f>
        <v/>
      </c>
      <c r="AB65" s="12">
        <f>AA65+Variables!$B$9-M65</f>
        <v/>
      </c>
      <c r="AC65" s="11">
        <f>IF(MOD(A65-1,Variables!$B$30)=0,Variables!$B$30*M65,0)</f>
        <v/>
      </c>
      <c r="AD65" s="12">
        <f>IF(A65=MATCH(TRUE,$Y$2:$Y$261,0),MAX($AB$2:$AB$261),IF(A65=MATCH(TRUE,$Y$2:$Y$261,0)-1,0,NA()))</f>
        <v/>
      </c>
      <c r="AE65" s="12">
        <f>IF(A65=MATCH(TRUE,$Z$2:$Z$261,0),MAX($AB$2:$AB$261),IF(A65=MATCH(TRUE,$Z$2:$Z$261,0)-1,0,NA()))</f>
        <v/>
      </c>
    </row>
    <row r="66">
      <c r="A66" t="n">
        <v>65</v>
      </c>
      <c r="B66" s="14">
        <f>Variables!$B$24+(A66-1)*7</f>
        <v/>
      </c>
      <c r="C66" s="12">
        <f>P65</f>
        <v/>
      </c>
      <c r="D66" s="12">
        <f>Q65</f>
        <v/>
      </c>
      <c r="E66" s="12">
        <f>C66+IF(A66&gt;Variables!$B$25,D66,0)</f>
        <v/>
      </c>
      <c r="F66" s="12">
        <f>C66+D66</f>
        <v/>
      </c>
      <c r="G66" s="11">
        <f>IF(A66&gt;Variables!$B$22,Variables!$B$12,0)</f>
        <v/>
      </c>
      <c r="H66" s="11">
        <f>IF(AND(A66&gt;Variables!$B$22,Variables!$B$14="Yes"),Variables!$B$13,0)</f>
        <v/>
      </c>
      <c r="I66" s="11">
        <f>IF(AA66&gt;Variables!$B$18,0,IF(AA66&gt;Variables!$B$19,CEILING((AA66-Variables!$B$19)/Variables!$B$21,1)*Variables!$B$20,0))</f>
        <v/>
      </c>
      <c r="J66" s="11">
        <f>IF(AA66&lt;=Variables!$B$18,MIN(Variables!$B$9-Variables!$B$8+I66,Variables!$B$26),0)</f>
        <v/>
      </c>
      <c r="K66" s="11">
        <f>IF(AA66&lt;=Variables!$B$18,Variables!$B$27,0)</f>
        <v/>
      </c>
      <c r="L66" s="11">
        <f>IF(AA66&gt;Variables!$B$18,G66+H66,Variables!$B$26-J66)</f>
        <v/>
      </c>
      <c r="M66" s="11">
        <f>IF(AA66&gt;Variables!$B$18,Variables!$B$2-G66-H66,J66+K66)</f>
        <v/>
      </c>
      <c r="N66" s="11">
        <f>Variables!$B$9-AC66</f>
        <v/>
      </c>
      <c r="O66" s="12">
        <f>F66+N66</f>
        <v/>
      </c>
      <c r="P66" s="12">
        <f>MAX(0,C66+N66)</f>
        <v/>
      </c>
      <c r="Q66" s="12">
        <f>D66+MIN(0,C66+N66)</f>
        <v/>
      </c>
      <c r="R66">
        <f>IF(AA66&gt;Variables!$B$18,"Self-funder",IF(AA66&gt;Variables!$B$19,"Tariff band - council contributing","Council pays standard rate"))</f>
        <v/>
      </c>
      <c r="S66" s="12">
        <f>Variables!$B$18</f>
        <v/>
      </c>
      <c r="T66" s="12">
        <f>Variables!$B$19</f>
        <v/>
      </c>
      <c r="U66">
        <f>AA66&lt;=Variables!$B$18</f>
        <v/>
      </c>
      <c r="V66">
        <f>AA66&lt;=Variables!$B$19</f>
        <v/>
      </c>
      <c r="W66">
        <f>P66&lt;=0</f>
        <v/>
      </c>
      <c r="X66" s="12">
        <f>Variables!$B$28</f>
        <v/>
      </c>
      <c r="Y66">
        <f>AB66&lt;=Variables!$B$28</f>
        <v/>
      </c>
      <c r="Z66">
        <f>AB66&lt;=Variables!$B$18</f>
        <v/>
      </c>
      <c r="AA66" s="12">
        <f>AB65</f>
        <v/>
      </c>
      <c r="AB66" s="12">
        <f>AA66+Variables!$B$9-M66</f>
        <v/>
      </c>
      <c r="AC66" s="11">
        <f>IF(MOD(A66-1,Variables!$B$30)=0,Variables!$B$30*M66,0)</f>
        <v/>
      </c>
      <c r="AD66" s="12">
        <f>IF(A66=MATCH(TRUE,$Y$2:$Y$261,0),MAX($AB$2:$AB$261),IF(A66=MATCH(TRUE,$Y$2:$Y$261,0)-1,0,NA()))</f>
        <v/>
      </c>
      <c r="AE66" s="12">
        <f>IF(A66=MATCH(TRUE,$Z$2:$Z$261,0),MAX($AB$2:$AB$261),IF(A66=MATCH(TRUE,$Z$2:$Z$261,0)-1,0,NA()))</f>
        <v/>
      </c>
    </row>
    <row r="67">
      <c r="A67" t="n">
        <v>66</v>
      </c>
      <c r="B67" s="14">
        <f>Variables!$B$24+(A67-1)*7</f>
        <v/>
      </c>
      <c r="C67" s="12">
        <f>P66</f>
        <v/>
      </c>
      <c r="D67" s="12">
        <f>Q66</f>
        <v/>
      </c>
      <c r="E67" s="12">
        <f>C67+IF(A67&gt;Variables!$B$25,D67,0)</f>
        <v/>
      </c>
      <c r="F67" s="12">
        <f>C67+D67</f>
        <v/>
      </c>
      <c r="G67" s="11">
        <f>IF(A67&gt;Variables!$B$22,Variables!$B$12,0)</f>
        <v/>
      </c>
      <c r="H67" s="11">
        <f>IF(AND(A67&gt;Variables!$B$22,Variables!$B$14="Yes"),Variables!$B$13,0)</f>
        <v/>
      </c>
      <c r="I67" s="11">
        <f>IF(AA67&gt;Variables!$B$18,0,IF(AA67&gt;Variables!$B$19,CEILING((AA67-Variables!$B$19)/Variables!$B$21,1)*Variables!$B$20,0))</f>
        <v/>
      </c>
      <c r="J67" s="11">
        <f>IF(AA67&lt;=Variables!$B$18,MIN(Variables!$B$9-Variables!$B$8+I67,Variables!$B$26),0)</f>
        <v/>
      </c>
      <c r="K67" s="11">
        <f>IF(AA67&lt;=Variables!$B$18,Variables!$B$27,0)</f>
        <v/>
      </c>
      <c r="L67" s="11">
        <f>IF(AA67&gt;Variables!$B$18,G67+H67,Variables!$B$26-J67)</f>
        <v/>
      </c>
      <c r="M67" s="11">
        <f>IF(AA67&gt;Variables!$B$18,Variables!$B$2-G67-H67,J67+K67)</f>
        <v/>
      </c>
      <c r="N67" s="11">
        <f>Variables!$B$9-AC67</f>
        <v/>
      </c>
      <c r="O67" s="12">
        <f>F67+N67</f>
        <v/>
      </c>
      <c r="P67" s="12">
        <f>MAX(0,C67+N67)</f>
        <v/>
      </c>
      <c r="Q67" s="12">
        <f>D67+MIN(0,C67+N67)</f>
        <v/>
      </c>
      <c r="R67">
        <f>IF(AA67&gt;Variables!$B$18,"Self-funder",IF(AA67&gt;Variables!$B$19,"Tariff band - council contributing","Council pays standard rate"))</f>
        <v/>
      </c>
      <c r="S67" s="12">
        <f>Variables!$B$18</f>
        <v/>
      </c>
      <c r="T67" s="12">
        <f>Variables!$B$19</f>
        <v/>
      </c>
      <c r="U67">
        <f>AA67&lt;=Variables!$B$18</f>
        <v/>
      </c>
      <c r="V67">
        <f>AA67&lt;=Variables!$B$19</f>
        <v/>
      </c>
      <c r="W67">
        <f>P67&lt;=0</f>
        <v/>
      </c>
      <c r="X67" s="12">
        <f>Variables!$B$28</f>
        <v/>
      </c>
      <c r="Y67">
        <f>AB67&lt;=Variables!$B$28</f>
        <v/>
      </c>
      <c r="Z67">
        <f>AB67&lt;=Variables!$B$18</f>
        <v/>
      </c>
      <c r="AA67" s="12">
        <f>AB66</f>
        <v/>
      </c>
      <c r="AB67" s="12">
        <f>AA67+Variables!$B$9-M67</f>
        <v/>
      </c>
      <c r="AC67" s="11">
        <f>IF(MOD(A67-1,Variables!$B$30)=0,Variables!$B$30*M67,0)</f>
        <v/>
      </c>
      <c r="AD67" s="12">
        <f>IF(A67=MATCH(TRUE,$Y$2:$Y$261,0),MAX($AB$2:$AB$261),IF(A67=MATCH(TRUE,$Y$2:$Y$261,0)-1,0,NA()))</f>
        <v/>
      </c>
      <c r="AE67" s="12">
        <f>IF(A67=MATCH(TRUE,$Z$2:$Z$261,0),MAX($AB$2:$AB$261),IF(A67=MATCH(TRUE,$Z$2:$Z$261,0)-1,0,NA()))</f>
        <v/>
      </c>
    </row>
    <row r="68">
      <c r="A68" t="n">
        <v>67</v>
      </c>
      <c r="B68" s="14">
        <f>Variables!$B$24+(A68-1)*7</f>
        <v/>
      </c>
      <c r="C68" s="12">
        <f>P67</f>
        <v/>
      </c>
      <c r="D68" s="12">
        <f>Q67</f>
        <v/>
      </c>
      <c r="E68" s="12">
        <f>C68+IF(A68&gt;Variables!$B$25,D68,0)</f>
        <v/>
      </c>
      <c r="F68" s="12">
        <f>C68+D68</f>
        <v/>
      </c>
      <c r="G68" s="11">
        <f>IF(A68&gt;Variables!$B$22,Variables!$B$12,0)</f>
        <v/>
      </c>
      <c r="H68" s="11">
        <f>IF(AND(A68&gt;Variables!$B$22,Variables!$B$14="Yes"),Variables!$B$13,0)</f>
        <v/>
      </c>
      <c r="I68" s="11">
        <f>IF(AA68&gt;Variables!$B$18,0,IF(AA68&gt;Variables!$B$19,CEILING((AA68-Variables!$B$19)/Variables!$B$21,1)*Variables!$B$20,0))</f>
        <v/>
      </c>
      <c r="J68" s="11">
        <f>IF(AA68&lt;=Variables!$B$18,MIN(Variables!$B$9-Variables!$B$8+I68,Variables!$B$26),0)</f>
        <v/>
      </c>
      <c r="K68" s="11">
        <f>IF(AA68&lt;=Variables!$B$18,Variables!$B$27,0)</f>
        <v/>
      </c>
      <c r="L68" s="11">
        <f>IF(AA68&gt;Variables!$B$18,G68+H68,Variables!$B$26-J68)</f>
        <v/>
      </c>
      <c r="M68" s="11">
        <f>IF(AA68&gt;Variables!$B$18,Variables!$B$2-G68-H68,J68+K68)</f>
        <v/>
      </c>
      <c r="N68" s="11">
        <f>Variables!$B$9-AC68</f>
        <v/>
      </c>
      <c r="O68" s="12">
        <f>F68+N68</f>
        <v/>
      </c>
      <c r="P68" s="12">
        <f>MAX(0,C68+N68)</f>
        <v/>
      </c>
      <c r="Q68" s="12">
        <f>D68+MIN(0,C68+N68)</f>
        <v/>
      </c>
      <c r="R68">
        <f>IF(AA68&gt;Variables!$B$18,"Self-funder",IF(AA68&gt;Variables!$B$19,"Tariff band - council contributing","Council pays standard rate"))</f>
        <v/>
      </c>
      <c r="S68" s="12">
        <f>Variables!$B$18</f>
        <v/>
      </c>
      <c r="T68" s="12">
        <f>Variables!$B$19</f>
        <v/>
      </c>
      <c r="U68">
        <f>AA68&lt;=Variables!$B$18</f>
        <v/>
      </c>
      <c r="V68">
        <f>AA68&lt;=Variables!$B$19</f>
        <v/>
      </c>
      <c r="W68">
        <f>P68&lt;=0</f>
        <v/>
      </c>
      <c r="X68" s="12">
        <f>Variables!$B$28</f>
        <v/>
      </c>
      <c r="Y68">
        <f>AB68&lt;=Variables!$B$28</f>
        <v/>
      </c>
      <c r="Z68">
        <f>AB68&lt;=Variables!$B$18</f>
        <v/>
      </c>
      <c r="AA68" s="12">
        <f>AB67</f>
        <v/>
      </c>
      <c r="AB68" s="12">
        <f>AA68+Variables!$B$9-M68</f>
        <v/>
      </c>
      <c r="AC68" s="11">
        <f>IF(MOD(A68-1,Variables!$B$30)=0,Variables!$B$30*M68,0)</f>
        <v/>
      </c>
      <c r="AD68" s="12">
        <f>IF(A68=MATCH(TRUE,$Y$2:$Y$261,0),MAX($AB$2:$AB$261),IF(A68=MATCH(TRUE,$Y$2:$Y$261,0)-1,0,NA()))</f>
        <v/>
      </c>
      <c r="AE68" s="12">
        <f>IF(A68=MATCH(TRUE,$Z$2:$Z$261,0),MAX($AB$2:$AB$261),IF(A68=MATCH(TRUE,$Z$2:$Z$261,0)-1,0,NA()))</f>
        <v/>
      </c>
    </row>
    <row r="69">
      <c r="A69" t="n">
        <v>68</v>
      </c>
      <c r="B69" s="14">
        <f>Variables!$B$24+(A69-1)*7</f>
        <v/>
      </c>
      <c r="C69" s="12">
        <f>P68</f>
        <v/>
      </c>
      <c r="D69" s="12">
        <f>Q68</f>
        <v/>
      </c>
      <c r="E69" s="12">
        <f>C69+IF(A69&gt;Variables!$B$25,D69,0)</f>
        <v/>
      </c>
      <c r="F69" s="12">
        <f>C69+D69</f>
        <v/>
      </c>
      <c r="G69" s="11">
        <f>IF(A69&gt;Variables!$B$22,Variables!$B$12,0)</f>
        <v/>
      </c>
      <c r="H69" s="11">
        <f>IF(AND(A69&gt;Variables!$B$22,Variables!$B$14="Yes"),Variables!$B$13,0)</f>
        <v/>
      </c>
      <c r="I69" s="11">
        <f>IF(AA69&gt;Variables!$B$18,0,IF(AA69&gt;Variables!$B$19,CEILING((AA69-Variables!$B$19)/Variables!$B$21,1)*Variables!$B$20,0))</f>
        <v/>
      </c>
      <c r="J69" s="11">
        <f>IF(AA69&lt;=Variables!$B$18,MIN(Variables!$B$9-Variables!$B$8+I69,Variables!$B$26),0)</f>
        <v/>
      </c>
      <c r="K69" s="11">
        <f>IF(AA69&lt;=Variables!$B$18,Variables!$B$27,0)</f>
        <v/>
      </c>
      <c r="L69" s="11">
        <f>IF(AA69&gt;Variables!$B$18,G69+H69,Variables!$B$26-J69)</f>
        <v/>
      </c>
      <c r="M69" s="11">
        <f>IF(AA69&gt;Variables!$B$18,Variables!$B$2-G69-H69,J69+K69)</f>
        <v/>
      </c>
      <c r="N69" s="11">
        <f>Variables!$B$9-AC69</f>
        <v/>
      </c>
      <c r="O69" s="12">
        <f>F69+N69</f>
        <v/>
      </c>
      <c r="P69" s="12">
        <f>MAX(0,C69+N69)</f>
        <v/>
      </c>
      <c r="Q69" s="12">
        <f>D69+MIN(0,C69+N69)</f>
        <v/>
      </c>
      <c r="R69">
        <f>IF(AA69&gt;Variables!$B$18,"Self-funder",IF(AA69&gt;Variables!$B$19,"Tariff band - council contributing","Council pays standard rate"))</f>
        <v/>
      </c>
      <c r="S69" s="12">
        <f>Variables!$B$18</f>
        <v/>
      </c>
      <c r="T69" s="12">
        <f>Variables!$B$19</f>
        <v/>
      </c>
      <c r="U69">
        <f>AA69&lt;=Variables!$B$18</f>
        <v/>
      </c>
      <c r="V69">
        <f>AA69&lt;=Variables!$B$19</f>
        <v/>
      </c>
      <c r="W69">
        <f>P69&lt;=0</f>
        <v/>
      </c>
      <c r="X69" s="12">
        <f>Variables!$B$28</f>
        <v/>
      </c>
      <c r="Y69">
        <f>AB69&lt;=Variables!$B$28</f>
        <v/>
      </c>
      <c r="Z69">
        <f>AB69&lt;=Variables!$B$18</f>
        <v/>
      </c>
      <c r="AA69" s="12">
        <f>AB68</f>
        <v/>
      </c>
      <c r="AB69" s="12">
        <f>AA69+Variables!$B$9-M69</f>
        <v/>
      </c>
      <c r="AC69" s="11">
        <f>IF(MOD(A69-1,Variables!$B$30)=0,Variables!$B$30*M69,0)</f>
        <v/>
      </c>
      <c r="AD69" s="12">
        <f>IF(A69=MATCH(TRUE,$Y$2:$Y$261,0),MAX($AB$2:$AB$261),IF(A69=MATCH(TRUE,$Y$2:$Y$261,0)-1,0,NA()))</f>
        <v/>
      </c>
      <c r="AE69" s="12">
        <f>IF(A69=MATCH(TRUE,$Z$2:$Z$261,0),MAX($AB$2:$AB$261),IF(A69=MATCH(TRUE,$Z$2:$Z$261,0)-1,0,NA()))</f>
        <v/>
      </c>
    </row>
    <row r="70">
      <c r="A70" t="n">
        <v>69</v>
      </c>
      <c r="B70" s="14">
        <f>Variables!$B$24+(A70-1)*7</f>
        <v/>
      </c>
      <c r="C70" s="12">
        <f>P69</f>
        <v/>
      </c>
      <c r="D70" s="12">
        <f>Q69</f>
        <v/>
      </c>
      <c r="E70" s="12">
        <f>C70+IF(A70&gt;Variables!$B$25,D70,0)</f>
        <v/>
      </c>
      <c r="F70" s="12">
        <f>C70+D70</f>
        <v/>
      </c>
      <c r="G70" s="11">
        <f>IF(A70&gt;Variables!$B$22,Variables!$B$12,0)</f>
        <v/>
      </c>
      <c r="H70" s="11">
        <f>IF(AND(A70&gt;Variables!$B$22,Variables!$B$14="Yes"),Variables!$B$13,0)</f>
        <v/>
      </c>
      <c r="I70" s="11">
        <f>IF(AA70&gt;Variables!$B$18,0,IF(AA70&gt;Variables!$B$19,CEILING((AA70-Variables!$B$19)/Variables!$B$21,1)*Variables!$B$20,0))</f>
        <v/>
      </c>
      <c r="J70" s="11">
        <f>IF(AA70&lt;=Variables!$B$18,MIN(Variables!$B$9-Variables!$B$8+I70,Variables!$B$26),0)</f>
        <v/>
      </c>
      <c r="K70" s="11">
        <f>IF(AA70&lt;=Variables!$B$18,Variables!$B$27,0)</f>
        <v/>
      </c>
      <c r="L70" s="11">
        <f>IF(AA70&gt;Variables!$B$18,G70+H70,Variables!$B$26-J70)</f>
        <v/>
      </c>
      <c r="M70" s="11">
        <f>IF(AA70&gt;Variables!$B$18,Variables!$B$2-G70-H70,J70+K70)</f>
        <v/>
      </c>
      <c r="N70" s="11">
        <f>Variables!$B$9-AC70</f>
        <v/>
      </c>
      <c r="O70" s="12">
        <f>F70+N70</f>
        <v/>
      </c>
      <c r="P70" s="12">
        <f>MAX(0,C70+N70)</f>
        <v/>
      </c>
      <c r="Q70" s="12">
        <f>D70+MIN(0,C70+N70)</f>
        <v/>
      </c>
      <c r="R70">
        <f>IF(AA70&gt;Variables!$B$18,"Self-funder",IF(AA70&gt;Variables!$B$19,"Tariff band - council contributing","Council pays standard rate"))</f>
        <v/>
      </c>
      <c r="S70" s="12">
        <f>Variables!$B$18</f>
        <v/>
      </c>
      <c r="T70" s="12">
        <f>Variables!$B$19</f>
        <v/>
      </c>
      <c r="U70">
        <f>AA70&lt;=Variables!$B$18</f>
        <v/>
      </c>
      <c r="V70">
        <f>AA70&lt;=Variables!$B$19</f>
        <v/>
      </c>
      <c r="W70">
        <f>P70&lt;=0</f>
        <v/>
      </c>
      <c r="X70" s="12">
        <f>Variables!$B$28</f>
        <v/>
      </c>
      <c r="Y70">
        <f>AB70&lt;=Variables!$B$28</f>
        <v/>
      </c>
      <c r="Z70">
        <f>AB70&lt;=Variables!$B$18</f>
        <v/>
      </c>
      <c r="AA70" s="12">
        <f>AB69</f>
        <v/>
      </c>
      <c r="AB70" s="12">
        <f>AA70+Variables!$B$9-M70</f>
        <v/>
      </c>
      <c r="AC70" s="11">
        <f>IF(MOD(A70-1,Variables!$B$30)=0,Variables!$B$30*M70,0)</f>
        <v/>
      </c>
      <c r="AD70" s="12">
        <f>IF(A70=MATCH(TRUE,$Y$2:$Y$261,0),MAX($AB$2:$AB$261),IF(A70=MATCH(TRUE,$Y$2:$Y$261,0)-1,0,NA()))</f>
        <v/>
      </c>
      <c r="AE70" s="12">
        <f>IF(A70=MATCH(TRUE,$Z$2:$Z$261,0),MAX($AB$2:$AB$261),IF(A70=MATCH(TRUE,$Z$2:$Z$261,0)-1,0,NA()))</f>
        <v/>
      </c>
    </row>
    <row r="71">
      <c r="A71" t="n">
        <v>70</v>
      </c>
      <c r="B71" s="14">
        <f>Variables!$B$24+(A71-1)*7</f>
        <v/>
      </c>
      <c r="C71" s="12">
        <f>P70</f>
        <v/>
      </c>
      <c r="D71" s="12">
        <f>Q70</f>
        <v/>
      </c>
      <c r="E71" s="12">
        <f>C71+IF(A71&gt;Variables!$B$25,D71,0)</f>
        <v/>
      </c>
      <c r="F71" s="12">
        <f>C71+D71</f>
        <v/>
      </c>
      <c r="G71" s="11">
        <f>IF(A71&gt;Variables!$B$22,Variables!$B$12,0)</f>
        <v/>
      </c>
      <c r="H71" s="11">
        <f>IF(AND(A71&gt;Variables!$B$22,Variables!$B$14="Yes"),Variables!$B$13,0)</f>
        <v/>
      </c>
      <c r="I71" s="11">
        <f>IF(AA71&gt;Variables!$B$18,0,IF(AA71&gt;Variables!$B$19,CEILING((AA71-Variables!$B$19)/Variables!$B$21,1)*Variables!$B$20,0))</f>
        <v/>
      </c>
      <c r="J71" s="11">
        <f>IF(AA71&lt;=Variables!$B$18,MIN(Variables!$B$9-Variables!$B$8+I71,Variables!$B$26),0)</f>
        <v/>
      </c>
      <c r="K71" s="11">
        <f>IF(AA71&lt;=Variables!$B$18,Variables!$B$27,0)</f>
        <v/>
      </c>
      <c r="L71" s="11">
        <f>IF(AA71&gt;Variables!$B$18,G71+H71,Variables!$B$26-J71)</f>
        <v/>
      </c>
      <c r="M71" s="11">
        <f>IF(AA71&gt;Variables!$B$18,Variables!$B$2-G71-H71,J71+K71)</f>
        <v/>
      </c>
      <c r="N71" s="11">
        <f>Variables!$B$9-AC71</f>
        <v/>
      </c>
      <c r="O71" s="12">
        <f>F71+N71</f>
        <v/>
      </c>
      <c r="P71" s="12">
        <f>MAX(0,C71+N71)</f>
        <v/>
      </c>
      <c r="Q71" s="12">
        <f>D71+MIN(0,C71+N71)</f>
        <v/>
      </c>
      <c r="R71">
        <f>IF(AA71&gt;Variables!$B$18,"Self-funder",IF(AA71&gt;Variables!$B$19,"Tariff band - council contributing","Council pays standard rate"))</f>
        <v/>
      </c>
      <c r="S71" s="12">
        <f>Variables!$B$18</f>
        <v/>
      </c>
      <c r="T71" s="12">
        <f>Variables!$B$19</f>
        <v/>
      </c>
      <c r="U71">
        <f>AA71&lt;=Variables!$B$18</f>
        <v/>
      </c>
      <c r="V71">
        <f>AA71&lt;=Variables!$B$19</f>
        <v/>
      </c>
      <c r="W71">
        <f>P71&lt;=0</f>
        <v/>
      </c>
      <c r="X71" s="12">
        <f>Variables!$B$28</f>
        <v/>
      </c>
      <c r="Y71">
        <f>AB71&lt;=Variables!$B$28</f>
        <v/>
      </c>
      <c r="Z71">
        <f>AB71&lt;=Variables!$B$18</f>
        <v/>
      </c>
      <c r="AA71" s="12">
        <f>AB70</f>
        <v/>
      </c>
      <c r="AB71" s="12">
        <f>AA71+Variables!$B$9-M71</f>
        <v/>
      </c>
      <c r="AC71" s="11">
        <f>IF(MOD(A71-1,Variables!$B$30)=0,Variables!$B$30*M71,0)</f>
        <v/>
      </c>
      <c r="AD71" s="12">
        <f>IF(A71=MATCH(TRUE,$Y$2:$Y$261,0),MAX($AB$2:$AB$261),IF(A71=MATCH(TRUE,$Y$2:$Y$261,0)-1,0,NA()))</f>
        <v/>
      </c>
      <c r="AE71" s="12">
        <f>IF(A71=MATCH(TRUE,$Z$2:$Z$261,0),MAX($AB$2:$AB$261),IF(A71=MATCH(TRUE,$Z$2:$Z$261,0)-1,0,NA()))</f>
        <v/>
      </c>
    </row>
    <row r="72">
      <c r="A72" t="n">
        <v>71</v>
      </c>
      <c r="B72" s="14">
        <f>Variables!$B$24+(A72-1)*7</f>
        <v/>
      </c>
      <c r="C72" s="12">
        <f>P71</f>
        <v/>
      </c>
      <c r="D72" s="12">
        <f>Q71</f>
        <v/>
      </c>
      <c r="E72" s="12">
        <f>C72+IF(A72&gt;Variables!$B$25,D72,0)</f>
        <v/>
      </c>
      <c r="F72" s="12">
        <f>C72+D72</f>
        <v/>
      </c>
      <c r="G72" s="11">
        <f>IF(A72&gt;Variables!$B$22,Variables!$B$12,0)</f>
        <v/>
      </c>
      <c r="H72" s="11">
        <f>IF(AND(A72&gt;Variables!$B$22,Variables!$B$14="Yes"),Variables!$B$13,0)</f>
        <v/>
      </c>
      <c r="I72" s="11">
        <f>IF(AA72&gt;Variables!$B$18,0,IF(AA72&gt;Variables!$B$19,CEILING((AA72-Variables!$B$19)/Variables!$B$21,1)*Variables!$B$20,0))</f>
        <v/>
      </c>
      <c r="J72" s="11">
        <f>IF(AA72&lt;=Variables!$B$18,MIN(Variables!$B$9-Variables!$B$8+I72,Variables!$B$26),0)</f>
        <v/>
      </c>
      <c r="K72" s="11">
        <f>IF(AA72&lt;=Variables!$B$18,Variables!$B$27,0)</f>
        <v/>
      </c>
      <c r="L72" s="11">
        <f>IF(AA72&gt;Variables!$B$18,G72+H72,Variables!$B$26-J72)</f>
        <v/>
      </c>
      <c r="M72" s="11">
        <f>IF(AA72&gt;Variables!$B$18,Variables!$B$2-G72-H72,J72+K72)</f>
        <v/>
      </c>
      <c r="N72" s="11">
        <f>Variables!$B$9-AC72</f>
        <v/>
      </c>
      <c r="O72" s="12">
        <f>F72+N72</f>
        <v/>
      </c>
      <c r="P72" s="12">
        <f>MAX(0,C72+N72)</f>
        <v/>
      </c>
      <c r="Q72" s="12">
        <f>D72+MIN(0,C72+N72)</f>
        <v/>
      </c>
      <c r="R72">
        <f>IF(AA72&gt;Variables!$B$18,"Self-funder",IF(AA72&gt;Variables!$B$19,"Tariff band - council contributing","Council pays standard rate"))</f>
        <v/>
      </c>
      <c r="S72" s="12">
        <f>Variables!$B$18</f>
        <v/>
      </c>
      <c r="T72" s="12">
        <f>Variables!$B$19</f>
        <v/>
      </c>
      <c r="U72">
        <f>AA72&lt;=Variables!$B$18</f>
        <v/>
      </c>
      <c r="V72">
        <f>AA72&lt;=Variables!$B$19</f>
        <v/>
      </c>
      <c r="W72">
        <f>P72&lt;=0</f>
        <v/>
      </c>
      <c r="X72" s="12">
        <f>Variables!$B$28</f>
        <v/>
      </c>
      <c r="Y72">
        <f>AB72&lt;=Variables!$B$28</f>
        <v/>
      </c>
      <c r="Z72">
        <f>AB72&lt;=Variables!$B$18</f>
        <v/>
      </c>
      <c r="AA72" s="12">
        <f>AB71</f>
        <v/>
      </c>
      <c r="AB72" s="12">
        <f>AA72+Variables!$B$9-M72</f>
        <v/>
      </c>
      <c r="AC72" s="11">
        <f>IF(MOD(A72-1,Variables!$B$30)=0,Variables!$B$30*M72,0)</f>
        <v/>
      </c>
      <c r="AD72" s="12">
        <f>IF(A72=MATCH(TRUE,$Y$2:$Y$261,0),MAX($AB$2:$AB$261),IF(A72=MATCH(TRUE,$Y$2:$Y$261,0)-1,0,NA()))</f>
        <v/>
      </c>
      <c r="AE72" s="12">
        <f>IF(A72=MATCH(TRUE,$Z$2:$Z$261,0),MAX($AB$2:$AB$261),IF(A72=MATCH(TRUE,$Z$2:$Z$261,0)-1,0,NA()))</f>
        <v/>
      </c>
    </row>
    <row r="73">
      <c r="A73" t="n">
        <v>72</v>
      </c>
      <c r="B73" s="14">
        <f>Variables!$B$24+(A73-1)*7</f>
        <v/>
      </c>
      <c r="C73" s="12">
        <f>P72</f>
        <v/>
      </c>
      <c r="D73" s="12">
        <f>Q72</f>
        <v/>
      </c>
      <c r="E73" s="12">
        <f>C73+IF(A73&gt;Variables!$B$25,D73,0)</f>
        <v/>
      </c>
      <c r="F73" s="12">
        <f>C73+D73</f>
        <v/>
      </c>
      <c r="G73" s="11">
        <f>IF(A73&gt;Variables!$B$22,Variables!$B$12,0)</f>
        <v/>
      </c>
      <c r="H73" s="11">
        <f>IF(AND(A73&gt;Variables!$B$22,Variables!$B$14="Yes"),Variables!$B$13,0)</f>
        <v/>
      </c>
      <c r="I73" s="11">
        <f>IF(AA73&gt;Variables!$B$18,0,IF(AA73&gt;Variables!$B$19,CEILING((AA73-Variables!$B$19)/Variables!$B$21,1)*Variables!$B$20,0))</f>
        <v/>
      </c>
      <c r="J73" s="11">
        <f>IF(AA73&lt;=Variables!$B$18,MIN(Variables!$B$9-Variables!$B$8+I73,Variables!$B$26),0)</f>
        <v/>
      </c>
      <c r="K73" s="11">
        <f>IF(AA73&lt;=Variables!$B$18,Variables!$B$27,0)</f>
        <v/>
      </c>
      <c r="L73" s="11">
        <f>IF(AA73&gt;Variables!$B$18,G73+H73,Variables!$B$26-J73)</f>
        <v/>
      </c>
      <c r="M73" s="11">
        <f>IF(AA73&gt;Variables!$B$18,Variables!$B$2-G73-H73,J73+K73)</f>
        <v/>
      </c>
      <c r="N73" s="11">
        <f>Variables!$B$9-AC73</f>
        <v/>
      </c>
      <c r="O73" s="12">
        <f>F73+N73</f>
        <v/>
      </c>
      <c r="P73" s="12">
        <f>MAX(0,C73+N73)</f>
        <v/>
      </c>
      <c r="Q73" s="12">
        <f>D73+MIN(0,C73+N73)</f>
        <v/>
      </c>
      <c r="R73">
        <f>IF(AA73&gt;Variables!$B$18,"Self-funder",IF(AA73&gt;Variables!$B$19,"Tariff band - council contributing","Council pays standard rate"))</f>
        <v/>
      </c>
      <c r="S73" s="12">
        <f>Variables!$B$18</f>
        <v/>
      </c>
      <c r="T73" s="12">
        <f>Variables!$B$19</f>
        <v/>
      </c>
      <c r="U73">
        <f>AA73&lt;=Variables!$B$18</f>
        <v/>
      </c>
      <c r="V73">
        <f>AA73&lt;=Variables!$B$19</f>
        <v/>
      </c>
      <c r="W73">
        <f>P73&lt;=0</f>
        <v/>
      </c>
      <c r="X73" s="12">
        <f>Variables!$B$28</f>
        <v/>
      </c>
      <c r="Y73">
        <f>AB73&lt;=Variables!$B$28</f>
        <v/>
      </c>
      <c r="Z73">
        <f>AB73&lt;=Variables!$B$18</f>
        <v/>
      </c>
      <c r="AA73" s="12">
        <f>AB72</f>
        <v/>
      </c>
      <c r="AB73" s="12">
        <f>AA73+Variables!$B$9-M73</f>
        <v/>
      </c>
      <c r="AC73" s="11">
        <f>IF(MOD(A73-1,Variables!$B$30)=0,Variables!$B$30*M73,0)</f>
        <v/>
      </c>
      <c r="AD73" s="12">
        <f>IF(A73=MATCH(TRUE,$Y$2:$Y$261,0),MAX($AB$2:$AB$261),IF(A73=MATCH(TRUE,$Y$2:$Y$261,0)-1,0,NA()))</f>
        <v/>
      </c>
      <c r="AE73" s="12">
        <f>IF(A73=MATCH(TRUE,$Z$2:$Z$261,0),MAX($AB$2:$AB$261),IF(A73=MATCH(TRUE,$Z$2:$Z$261,0)-1,0,NA()))</f>
        <v/>
      </c>
    </row>
    <row r="74">
      <c r="A74" t="n">
        <v>73</v>
      </c>
      <c r="B74" s="14">
        <f>Variables!$B$24+(A74-1)*7</f>
        <v/>
      </c>
      <c r="C74" s="12">
        <f>P73</f>
        <v/>
      </c>
      <c r="D74" s="12">
        <f>Q73</f>
        <v/>
      </c>
      <c r="E74" s="12">
        <f>C74+IF(A74&gt;Variables!$B$25,D74,0)</f>
        <v/>
      </c>
      <c r="F74" s="12">
        <f>C74+D74</f>
        <v/>
      </c>
      <c r="G74" s="11">
        <f>IF(A74&gt;Variables!$B$22,Variables!$B$12,0)</f>
        <v/>
      </c>
      <c r="H74" s="11">
        <f>IF(AND(A74&gt;Variables!$B$22,Variables!$B$14="Yes"),Variables!$B$13,0)</f>
        <v/>
      </c>
      <c r="I74" s="11">
        <f>IF(AA74&gt;Variables!$B$18,0,IF(AA74&gt;Variables!$B$19,CEILING((AA74-Variables!$B$19)/Variables!$B$21,1)*Variables!$B$20,0))</f>
        <v/>
      </c>
      <c r="J74" s="11">
        <f>IF(AA74&lt;=Variables!$B$18,MIN(Variables!$B$9-Variables!$B$8+I74,Variables!$B$26),0)</f>
        <v/>
      </c>
      <c r="K74" s="11">
        <f>IF(AA74&lt;=Variables!$B$18,Variables!$B$27,0)</f>
        <v/>
      </c>
      <c r="L74" s="11">
        <f>IF(AA74&gt;Variables!$B$18,G74+H74,Variables!$B$26-J74)</f>
        <v/>
      </c>
      <c r="M74" s="11">
        <f>IF(AA74&gt;Variables!$B$18,Variables!$B$2-G74-H74,J74+K74)</f>
        <v/>
      </c>
      <c r="N74" s="11">
        <f>Variables!$B$9-AC74</f>
        <v/>
      </c>
      <c r="O74" s="12">
        <f>F74+N74</f>
        <v/>
      </c>
      <c r="P74" s="12">
        <f>MAX(0,C74+N74)</f>
        <v/>
      </c>
      <c r="Q74" s="12">
        <f>D74+MIN(0,C74+N74)</f>
        <v/>
      </c>
      <c r="R74">
        <f>IF(AA74&gt;Variables!$B$18,"Self-funder",IF(AA74&gt;Variables!$B$19,"Tariff band - council contributing","Council pays standard rate"))</f>
        <v/>
      </c>
      <c r="S74" s="12">
        <f>Variables!$B$18</f>
        <v/>
      </c>
      <c r="T74" s="12">
        <f>Variables!$B$19</f>
        <v/>
      </c>
      <c r="U74">
        <f>AA74&lt;=Variables!$B$18</f>
        <v/>
      </c>
      <c r="V74">
        <f>AA74&lt;=Variables!$B$19</f>
        <v/>
      </c>
      <c r="W74">
        <f>P74&lt;=0</f>
        <v/>
      </c>
      <c r="X74" s="12">
        <f>Variables!$B$28</f>
        <v/>
      </c>
      <c r="Y74">
        <f>AB74&lt;=Variables!$B$28</f>
        <v/>
      </c>
      <c r="Z74">
        <f>AB74&lt;=Variables!$B$18</f>
        <v/>
      </c>
      <c r="AA74" s="12">
        <f>AB73</f>
        <v/>
      </c>
      <c r="AB74" s="12">
        <f>AA74+Variables!$B$9-M74</f>
        <v/>
      </c>
      <c r="AC74" s="11">
        <f>IF(MOD(A74-1,Variables!$B$30)=0,Variables!$B$30*M74,0)</f>
        <v/>
      </c>
      <c r="AD74" s="12">
        <f>IF(A74=MATCH(TRUE,$Y$2:$Y$261,0),MAX($AB$2:$AB$261),IF(A74=MATCH(TRUE,$Y$2:$Y$261,0)-1,0,NA()))</f>
        <v/>
      </c>
      <c r="AE74" s="12">
        <f>IF(A74=MATCH(TRUE,$Z$2:$Z$261,0),MAX($AB$2:$AB$261),IF(A74=MATCH(TRUE,$Z$2:$Z$261,0)-1,0,NA()))</f>
        <v/>
      </c>
    </row>
    <row r="75">
      <c r="A75" t="n">
        <v>74</v>
      </c>
      <c r="B75" s="14">
        <f>Variables!$B$24+(A75-1)*7</f>
        <v/>
      </c>
      <c r="C75" s="12">
        <f>P74</f>
        <v/>
      </c>
      <c r="D75" s="12">
        <f>Q74</f>
        <v/>
      </c>
      <c r="E75" s="12">
        <f>C75+IF(A75&gt;Variables!$B$25,D75,0)</f>
        <v/>
      </c>
      <c r="F75" s="12">
        <f>C75+D75</f>
        <v/>
      </c>
      <c r="G75" s="11">
        <f>IF(A75&gt;Variables!$B$22,Variables!$B$12,0)</f>
        <v/>
      </c>
      <c r="H75" s="11">
        <f>IF(AND(A75&gt;Variables!$B$22,Variables!$B$14="Yes"),Variables!$B$13,0)</f>
        <v/>
      </c>
      <c r="I75" s="11">
        <f>IF(AA75&gt;Variables!$B$18,0,IF(AA75&gt;Variables!$B$19,CEILING((AA75-Variables!$B$19)/Variables!$B$21,1)*Variables!$B$20,0))</f>
        <v/>
      </c>
      <c r="J75" s="11">
        <f>IF(AA75&lt;=Variables!$B$18,MIN(Variables!$B$9-Variables!$B$8+I75,Variables!$B$26),0)</f>
        <v/>
      </c>
      <c r="K75" s="11">
        <f>IF(AA75&lt;=Variables!$B$18,Variables!$B$27,0)</f>
        <v/>
      </c>
      <c r="L75" s="11">
        <f>IF(AA75&gt;Variables!$B$18,G75+H75,Variables!$B$26-J75)</f>
        <v/>
      </c>
      <c r="M75" s="11">
        <f>IF(AA75&gt;Variables!$B$18,Variables!$B$2-G75-H75,J75+K75)</f>
        <v/>
      </c>
      <c r="N75" s="11">
        <f>Variables!$B$9-AC75</f>
        <v/>
      </c>
      <c r="O75" s="12">
        <f>F75+N75</f>
        <v/>
      </c>
      <c r="P75" s="12">
        <f>MAX(0,C75+N75)</f>
        <v/>
      </c>
      <c r="Q75" s="12">
        <f>D75+MIN(0,C75+N75)</f>
        <v/>
      </c>
      <c r="R75">
        <f>IF(AA75&gt;Variables!$B$18,"Self-funder",IF(AA75&gt;Variables!$B$19,"Tariff band - council contributing","Council pays standard rate"))</f>
        <v/>
      </c>
      <c r="S75" s="12">
        <f>Variables!$B$18</f>
        <v/>
      </c>
      <c r="T75" s="12">
        <f>Variables!$B$19</f>
        <v/>
      </c>
      <c r="U75">
        <f>AA75&lt;=Variables!$B$18</f>
        <v/>
      </c>
      <c r="V75">
        <f>AA75&lt;=Variables!$B$19</f>
        <v/>
      </c>
      <c r="W75">
        <f>P75&lt;=0</f>
        <v/>
      </c>
      <c r="X75" s="12">
        <f>Variables!$B$28</f>
        <v/>
      </c>
      <c r="Y75">
        <f>AB75&lt;=Variables!$B$28</f>
        <v/>
      </c>
      <c r="Z75">
        <f>AB75&lt;=Variables!$B$18</f>
        <v/>
      </c>
      <c r="AA75" s="12">
        <f>AB74</f>
        <v/>
      </c>
      <c r="AB75" s="12">
        <f>AA75+Variables!$B$9-M75</f>
        <v/>
      </c>
      <c r="AC75" s="11">
        <f>IF(MOD(A75-1,Variables!$B$30)=0,Variables!$B$30*M75,0)</f>
        <v/>
      </c>
      <c r="AD75" s="12">
        <f>IF(A75=MATCH(TRUE,$Y$2:$Y$261,0),MAX($AB$2:$AB$261),IF(A75=MATCH(TRUE,$Y$2:$Y$261,0)-1,0,NA()))</f>
        <v/>
      </c>
      <c r="AE75" s="12">
        <f>IF(A75=MATCH(TRUE,$Z$2:$Z$261,0),MAX($AB$2:$AB$261),IF(A75=MATCH(TRUE,$Z$2:$Z$261,0)-1,0,NA()))</f>
        <v/>
      </c>
    </row>
    <row r="76">
      <c r="A76" t="n">
        <v>75</v>
      </c>
      <c r="B76" s="14">
        <f>Variables!$B$24+(A76-1)*7</f>
        <v/>
      </c>
      <c r="C76" s="12">
        <f>P75</f>
        <v/>
      </c>
      <c r="D76" s="12">
        <f>Q75</f>
        <v/>
      </c>
      <c r="E76" s="12">
        <f>C76+IF(A76&gt;Variables!$B$25,D76,0)</f>
        <v/>
      </c>
      <c r="F76" s="12">
        <f>C76+D76</f>
        <v/>
      </c>
      <c r="G76" s="11">
        <f>IF(A76&gt;Variables!$B$22,Variables!$B$12,0)</f>
        <v/>
      </c>
      <c r="H76" s="11">
        <f>IF(AND(A76&gt;Variables!$B$22,Variables!$B$14="Yes"),Variables!$B$13,0)</f>
        <v/>
      </c>
      <c r="I76" s="11">
        <f>IF(AA76&gt;Variables!$B$18,0,IF(AA76&gt;Variables!$B$19,CEILING((AA76-Variables!$B$19)/Variables!$B$21,1)*Variables!$B$20,0))</f>
        <v/>
      </c>
      <c r="J76" s="11">
        <f>IF(AA76&lt;=Variables!$B$18,MIN(Variables!$B$9-Variables!$B$8+I76,Variables!$B$26),0)</f>
        <v/>
      </c>
      <c r="K76" s="11">
        <f>IF(AA76&lt;=Variables!$B$18,Variables!$B$27,0)</f>
        <v/>
      </c>
      <c r="L76" s="11">
        <f>IF(AA76&gt;Variables!$B$18,G76+H76,Variables!$B$26-J76)</f>
        <v/>
      </c>
      <c r="M76" s="11">
        <f>IF(AA76&gt;Variables!$B$18,Variables!$B$2-G76-H76,J76+K76)</f>
        <v/>
      </c>
      <c r="N76" s="11">
        <f>Variables!$B$9-AC76</f>
        <v/>
      </c>
      <c r="O76" s="12">
        <f>F76+N76</f>
        <v/>
      </c>
      <c r="P76" s="12">
        <f>MAX(0,C76+N76)</f>
        <v/>
      </c>
      <c r="Q76" s="12">
        <f>D76+MIN(0,C76+N76)</f>
        <v/>
      </c>
      <c r="R76">
        <f>IF(AA76&gt;Variables!$B$18,"Self-funder",IF(AA76&gt;Variables!$B$19,"Tariff band - council contributing","Council pays standard rate"))</f>
        <v/>
      </c>
      <c r="S76" s="12">
        <f>Variables!$B$18</f>
        <v/>
      </c>
      <c r="T76" s="12">
        <f>Variables!$B$19</f>
        <v/>
      </c>
      <c r="U76">
        <f>AA76&lt;=Variables!$B$18</f>
        <v/>
      </c>
      <c r="V76">
        <f>AA76&lt;=Variables!$B$19</f>
        <v/>
      </c>
      <c r="W76">
        <f>P76&lt;=0</f>
        <v/>
      </c>
      <c r="X76" s="12">
        <f>Variables!$B$28</f>
        <v/>
      </c>
      <c r="Y76">
        <f>AB76&lt;=Variables!$B$28</f>
        <v/>
      </c>
      <c r="Z76">
        <f>AB76&lt;=Variables!$B$18</f>
        <v/>
      </c>
      <c r="AA76" s="12">
        <f>AB75</f>
        <v/>
      </c>
      <c r="AB76" s="12">
        <f>AA76+Variables!$B$9-M76</f>
        <v/>
      </c>
      <c r="AC76" s="11">
        <f>IF(MOD(A76-1,Variables!$B$30)=0,Variables!$B$30*M76,0)</f>
        <v/>
      </c>
      <c r="AD76" s="12">
        <f>IF(A76=MATCH(TRUE,$Y$2:$Y$261,0),MAX($AB$2:$AB$261),IF(A76=MATCH(TRUE,$Y$2:$Y$261,0)-1,0,NA()))</f>
        <v/>
      </c>
      <c r="AE76" s="12">
        <f>IF(A76=MATCH(TRUE,$Z$2:$Z$261,0),MAX($AB$2:$AB$261),IF(A76=MATCH(TRUE,$Z$2:$Z$261,0)-1,0,NA()))</f>
        <v/>
      </c>
    </row>
    <row r="77">
      <c r="A77" t="n">
        <v>76</v>
      </c>
      <c r="B77" s="14">
        <f>Variables!$B$24+(A77-1)*7</f>
        <v/>
      </c>
      <c r="C77" s="12">
        <f>P76</f>
        <v/>
      </c>
      <c r="D77" s="12">
        <f>Q76</f>
        <v/>
      </c>
      <c r="E77" s="12">
        <f>C77+IF(A77&gt;Variables!$B$25,D77,0)</f>
        <v/>
      </c>
      <c r="F77" s="12">
        <f>C77+D77</f>
        <v/>
      </c>
      <c r="G77" s="11">
        <f>IF(A77&gt;Variables!$B$22,Variables!$B$12,0)</f>
        <v/>
      </c>
      <c r="H77" s="11">
        <f>IF(AND(A77&gt;Variables!$B$22,Variables!$B$14="Yes"),Variables!$B$13,0)</f>
        <v/>
      </c>
      <c r="I77" s="11">
        <f>IF(AA77&gt;Variables!$B$18,0,IF(AA77&gt;Variables!$B$19,CEILING((AA77-Variables!$B$19)/Variables!$B$21,1)*Variables!$B$20,0))</f>
        <v/>
      </c>
      <c r="J77" s="11">
        <f>IF(AA77&lt;=Variables!$B$18,MIN(Variables!$B$9-Variables!$B$8+I77,Variables!$B$26),0)</f>
        <v/>
      </c>
      <c r="K77" s="11">
        <f>IF(AA77&lt;=Variables!$B$18,Variables!$B$27,0)</f>
        <v/>
      </c>
      <c r="L77" s="11">
        <f>IF(AA77&gt;Variables!$B$18,G77+H77,Variables!$B$26-J77)</f>
        <v/>
      </c>
      <c r="M77" s="11">
        <f>IF(AA77&gt;Variables!$B$18,Variables!$B$2-G77-H77,J77+K77)</f>
        <v/>
      </c>
      <c r="N77" s="11">
        <f>Variables!$B$9-AC77</f>
        <v/>
      </c>
      <c r="O77" s="12">
        <f>F77+N77</f>
        <v/>
      </c>
      <c r="P77" s="12">
        <f>MAX(0,C77+N77)</f>
        <v/>
      </c>
      <c r="Q77" s="12">
        <f>D77+MIN(0,C77+N77)</f>
        <v/>
      </c>
      <c r="R77">
        <f>IF(AA77&gt;Variables!$B$18,"Self-funder",IF(AA77&gt;Variables!$B$19,"Tariff band - council contributing","Council pays standard rate"))</f>
        <v/>
      </c>
      <c r="S77" s="12">
        <f>Variables!$B$18</f>
        <v/>
      </c>
      <c r="T77" s="12">
        <f>Variables!$B$19</f>
        <v/>
      </c>
      <c r="U77">
        <f>AA77&lt;=Variables!$B$18</f>
        <v/>
      </c>
      <c r="V77">
        <f>AA77&lt;=Variables!$B$19</f>
        <v/>
      </c>
      <c r="W77">
        <f>P77&lt;=0</f>
        <v/>
      </c>
      <c r="X77" s="12">
        <f>Variables!$B$28</f>
        <v/>
      </c>
      <c r="Y77">
        <f>AB77&lt;=Variables!$B$28</f>
        <v/>
      </c>
      <c r="Z77">
        <f>AB77&lt;=Variables!$B$18</f>
        <v/>
      </c>
      <c r="AA77" s="12">
        <f>AB76</f>
        <v/>
      </c>
      <c r="AB77" s="12">
        <f>AA77+Variables!$B$9-M77</f>
        <v/>
      </c>
      <c r="AC77" s="11">
        <f>IF(MOD(A77-1,Variables!$B$30)=0,Variables!$B$30*M77,0)</f>
        <v/>
      </c>
      <c r="AD77" s="12">
        <f>IF(A77=MATCH(TRUE,$Y$2:$Y$261,0),MAX($AB$2:$AB$261),IF(A77=MATCH(TRUE,$Y$2:$Y$261,0)-1,0,NA()))</f>
        <v/>
      </c>
      <c r="AE77" s="12">
        <f>IF(A77=MATCH(TRUE,$Z$2:$Z$261,0),MAX($AB$2:$AB$261),IF(A77=MATCH(TRUE,$Z$2:$Z$261,0)-1,0,NA()))</f>
        <v/>
      </c>
    </row>
    <row r="78">
      <c r="A78" t="n">
        <v>77</v>
      </c>
      <c r="B78" s="14">
        <f>Variables!$B$24+(A78-1)*7</f>
        <v/>
      </c>
      <c r="C78" s="12">
        <f>P77</f>
        <v/>
      </c>
      <c r="D78" s="12">
        <f>Q77</f>
        <v/>
      </c>
      <c r="E78" s="12">
        <f>C78+IF(A78&gt;Variables!$B$25,D78,0)</f>
        <v/>
      </c>
      <c r="F78" s="12">
        <f>C78+D78</f>
        <v/>
      </c>
      <c r="G78" s="11">
        <f>IF(A78&gt;Variables!$B$22,Variables!$B$12,0)</f>
        <v/>
      </c>
      <c r="H78" s="11">
        <f>IF(AND(A78&gt;Variables!$B$22,Variables!$B$14="Yes"),Variables!$B$13,0)</f>
        <v/>
      </c>
      <c r="I78" s="11">
        <f>IF(AA78&gt;Variables!$B$18,0,IF(AA78&gt;Variables!$B$19,CEILING((AA78-Variables!$B$19)/Variables!$B$21,1)*Variables!$B$20,0))</f>
        <v/>
      </c>
      <c r="J78" s="11">
        <f>IF(AA78&lt;=Variables!$B$18,MIN(Variables!$B$9-Variables!$B$8+I78,Variables!$B$26),0)</f>
        <v/>
      </c>
      <c r="K78" s="11">
        <f>IF(AA78&lt;=Variables!$B$18,Variables!$B$27,0)</f>
        <v/>
      </c>
      <c r="L78" s="11">
        <f>IF(AA78&gt;Variables!$B$18,G78+H78,Variables!$B$26-J78)</f>
        <v/>
      </c>
      <c r="M78" s="11">
        <f>IF(AA78&gt;Variables!$B$18,Variables!$B$2-G78-H78,J78+K78)</f>
        <v/>
      </c>
      <c r="N78" s="11">
        <f>Variables!$B$9-AC78</f>
        <v/>
      </c>
      <c r="O78" s="12">
        <f>F78+N78</f>
        <v/>
      </c>
      <c r="P78" s="12">
        <f>MAX(0,C78+N78)</f>
        <v/>
      </c>
      <c r="Q78" s="12">
        <f>D78+MIN(0,C78+N78)</f>
        <v/>
      </c>
      <c r="R78">
        <f>IF(AA78&gt;Variables!$B$18,"Self-funder",IF(AA78&gt;Variables!$B$19,"Tariff band - council contributing","Council pays standard rate"))</f>
        <v/>
      </c>
      <c r="S78" s="12">
        <f>Variables!$B$18</f>
        <v/>
      </c>
      <c r="T78" s="12">
        <f>Variables!$B$19</f>
        <v/>
      </c>
      <c r="U78">
        <f>AA78&lt;=Variables!$B$18</f>
        <v/>
      </c>
      <c r="V78">
        <f>AA78&lt;=Variables!$B$19</f>
        <v/>
      </c>
      <c r="W78">
        <f>P78&lt;=0</f>
        <v/>
      </c>
      <c r="X78" s="12">
        <f>Variables!$B$28</f>
        <v/>
      </c>
      <c r="Y78">
        <f>AB78&lt;=Variables!$B$28</f>
        <v/>
      </c>
      <c r="Z78">
        <f>AB78&lt;=Variables!$B$18</f>
        <v/>
      </c>
      <c r="AA78" s="12">
        <f>AB77</f>
        <v/>
      </c>
      <c r="AB78" s="12">
        <f>AA78+Variables!$B$9-M78</f>
        <v/>
      </c>
      <c r="AC78" s="11">
        <f>IF(MOD(A78-1,Variables!$B$30)=0,Variables!$B$30*M78,0)</f>
        <v/>
      </c>
      <c r="AD78" s="12">
        <f>IF(A78=MATCH(TRUE,$Y$2:$Y$261,0),MAX($AB$2:$AB$261),IF(A78=MATCH(TRUE,$Y$2:$Y$261,0)-1,0,NA()))</f>
        <v/>
      </c>
      <c r="AE78" s="12">
        <f>IF(A78=MATCH(TRUE,$Z$2:$Z$261,0),MAX($AB$2:$AB$261),IF(A78=MATCH(TRUE,$Z$2:$Z$261,0)-1,0,NA()))</f>
        <v/>
      </c>
    </row>
    <row r="79">
      <c r="A79" t="n">
        <v>78</v>
      </c>
      <c r="B79" s="14">
        <f>Variables!$B$24+(A79-1)*7</f>
        <v/>
      </c>
      <c r="C79" s="12">
        <f>P78</f>
        <v/>
      </c>
      <c r="D79" s="12">
        <f>Q78</f>
        <v/>
      </c>
      <c r="E79" s="12">
        <f>C79+IF(A79&gt;Variables!$B$25,D79,0)</f>
        <v/>
      </c>
      <c r="F79" s="12">
        <f>C79+D79</f>
        <v/>
      </c>
      <c r="G79" s="11">
        <f>IF(A79&gt;Variables!$B$22,Variables!$B$12,0)</f>
        <v/>
      </c>
      <c r="H79" s="11">
        <f>IF(AND(A79&gt;Variables!$B$22,Variables!$B$14="Yes"),Variables!$B$13,0)</f>
        <v/>
      </c>
      <c r="I79" s="11">
        <f>IF(AA79&gt;Variables!$B$18,0,IF(AA79&gt;Variables!$B$19,CEILING((AA79-Variables!$B$19)/Variables!$B$21,1)*Variables!$B$20,0))</f>
        <v/>
      </c>
      <c r="J79" s="11">
        <f>IF(AA79&lt;=Variables!$B$18,MIN(Variables!$B$9-Variables!$B$8+I79,Variables!$B$26),0)</f>
        <v/>
      </c>
      <c r="K79" s="11">
        <f>IF(AA79&lt;=Variables!$B$18,Variables!$B$27,0)</f>
        <v/>
      </c>
      <c r="L79" s="11">
        <f>IF(AA79&gt;Variables!$B$18,G79+H79,Variables!$B$26-J79)</f>
        <v/>
      </c>
      <c r="M79" s="11">
        <f>IF(AA79&gt;Variables!$B$18,Variables!$B$2-G79-H79,J79+K79)</f>
        <v/>
      </c>
      <c r="N79" s="11">
        <f>Variables!$B$9-AC79</f>
        <v/>
      </c>
      <c r="O79" s="12">
        <f>F79+N79</f>
        <v/>
      </c>
      <c r="P79" s="12">
        <f>MAX(0,C79+N79)</f>
        <v/>
      </c>
      <c r="Q79" s="12">
        <f>D79+MIN(0,C79+N79)</f>
        <v/>
      </c>
      <c r="R79">
        <f>IF(AA79&gt;Variables!$B$18,"Self-funder",IF(AA79&gt;Variables!$B$19,"Tariff band - council contributing","Council pays standard rate"))</f>
        <v/>
      </c>
      <c r="S79" s="12">
        <f>Variables!$B$18</f>
        <v/>
      </c>
      <c r="T79" s="12">
        <f>Variables!$B$19</f>
        <v/>
      </c>
      <c r="U79">
        <f>AA79&lt;=Variables!$B$18</f>
        <v/>
      </c>
      <c r="V79">
        <f>AA79&lt;=Variables!$B$19</f>
        <v/>
      </c>
      <c r="W79">
        <f>P79&lt;=0</f>
        <v/>
      </c>
      <c r="X79" s="12">
        <f>Variables!$B$28</f>
        <v/>
      </c>
      <c r="Y79">
        <f>AB79&lt;=Variables!$B$28</f>
        <v/>
      </c>
      <c r="Z79">
        <f>AB79&lt;=Variables!$B$18</f>
        <v/>
      </c>
      <c r="AA79" s="12">
        <f>AB78</f>
        <v/>
      </c>
      <c r="AB79" s="12">
        <f>AA79+Variables!$B$9-M79</f>
        <v/>
      </c>
      <c r="AC79" s="11">
        <f>IF(MOD(A79-1,Variables!$B$30)=0,Variables!$B$30*M79,0)</f>
        <v/>
      </c>
      <c r="AD79" s="12">
        <f>IF(A79=MATCH(TRUE,$Y$2:$Y$261,0),MAX($AB$2:$AB$261),IF(A79=MATCH(TRUE,$Y$2:$Y$261,0)-1,0,NA()))</f>
        <v/>
      </c>
      <c r="AE79" s="12">
        <f>IF(A79=MATCH(TRUE,$Z$2:$Z$261,0),MAX($AB$2:$AB$261),IF(A79=MATCH(TRUE,$Z$2:$Z$261,0)-1,0,NA()))</f>
        <v/>
      </c>
    </row>
    <row r="80">
      <c r="A80" t="n">
        <v>79</v>
      </c>
      <c r="B80" s="14">
        <f>Variables!$B$24+(A80-1)*7</f>
        <v/>
      </c>
      <c r="C80" s="12">
        <f>P79</f>
        <v/>
      </c>
      <c r="D80" s="12">
        <f>Q79</f>
        <v/>
      </c>
      <c r="E80" s="12">
        <f>C80+IF(A80&gt;Variables!$B$25,D80,0)</f>
        <v/>
      </c>
      <c r="F80" s="12">
        <f>C80+D80</f>
        <v/>
      </c>
      <c r="G80" s="11">
        <f>IF(A80&gt;Variables!$B$22,Variables!$B$12,0)</f>
        <v/>
      </c>
      <c r="H80" s="11">
        <f>IF(AND(A80&gt;Variables!$B$22,Variables!$B$14="Yes"),Variables!$B$13,0)</f>
        <v/>
      </c>
      <c r="I80" s="11">
        <f>IF(AA80&gt;Variables!$B$18,0,IF(AA80&gt;Variables!$B$19,CEILING((AA80-Variables!$B$19)/Variables!$B$21,1)*Variables!$B$20,0))</f>
        <v/>
      </c>
      <c r="J80" s="11">
        <f>IF(AA80&lt;=Variables!$B$18,MIN(Variables!$B$9-Variables!$B$8+I80,Variables!$B$26),0)</f>
        <v/>
      </c>
      <c r="K80" s="11">
        <f>IF(AA80&lt;=Variables!$B$18,Variables!$B$27,0)</f>
        <v/>
      </c>
      <c r="L80" s="11">
        <f>IF(AA80&gt;Variables!$B$18,G80+H80,Variables!$B$26-J80)</f>
        <v/>
      </c>
      <c r="M80" s="11">
        <f>IF(AA80&gt;Variables!$B$18,Variables!$B$2-G80-H80,J80+K80)</f>
        <v/>
      </c>
      <c r="N80" s="11">
        <f>Variables!$B$9-AC80</f>
        <v/>
      </c>
      <c r="O80" s="12">
        <f>F80+N80</f>
        <v/>
      </c>
      <c r="P80" s="12">
        <f>MAX(0,C80+N80)</f>
        <v/>
      </c>
      <c r="Q80" s="12">
        <f>D80+MIN(0,C80+N80)</f>
        <v/>
      </c>
      <c r="R80">
        <f>IF(AA80&gt;Variables!$B$18,"Self-funder",IF(AA80&gt;Variables!$B$19,"Tariff band - council contributing","Council pays standard rate"))</f>
        <v/>
      </c>
      <c r="S80" s="12">
        <f>Variables!$B$18</f>
        <v/>
      </c>
      <c r="T80" s="12">
        <f>Variables!$B$19</f>
        <v/>
      </c>
      <c r="U80">
        <f>AA80&lt;=Variables!$B$18</f>
        <v/>
      </c>
      <c r="V80">
        <f>AA80&lt;=Variables!$B$19</f>
        <v/>
      </c>
      <c r="W80">
        <f>P80&lt;=0</f>
        <v/>
      </c>
      <c r="X80" s="12">
        <f>Variables!$B$28</f>
        <v/>
      </c>
      <c r="Y80">
        <f>AB80&lt;=Variables!$B$28</f>
        <v/>
      </c>
      <c r="Z80">
        <f>AB80&lt;=Variables!$B$18</f>
        <v/>
      </c>
      <c r="AA80" s="12">
        <f>AB79</f>
        <v/>
      </c>
      <c r="AB80" s="12">
        <f>AA80+Variables!$B$9-M80</f>
        <v/>
      </c>
      <c r="AC80" s="11">
        <f>IF(MOD(A80-1,Variables!$B$30)=0,Variables!$B$30*M80,0)</f>
        <v/>
      </c>
      <c r="AD80" s="12">
        <f>IF(A80=MATCH(TRUE,$Y$2:$Y$261,0),MAX($AB$2:$AB$261),IF(A80=MATCH(TRUE,$Y$2:$Y$261,0)-1,0,NA()))</f>
        <v/>
      </c>
      <c r="AE80" s="12">
        <f>IF(A80=MATCH(TRUE,$Z$2:$Z$261,0),MAX($AB$2:$AB$261),IF(A80=MATCH(TRUE,$Z$2:$Z$261,0)-1,0,NA()))</f>
        <v/>
      </c>
    </row>
    <row r="81">
      <c r="A81" t="n">
        <v>80</v>
      </c>
      <c r="B81" s="14">
        <f>Variables!$B$24+(A81-1)*7</f>
        <v/>
      </c>
      <c r="C81" s="12">
        <f>P80</f>
        <v/>
      </c>
      <c r="D81" s="12">
        <f>Q80</f>
        <v/>
      </c>
      <c r="E81" s="12">
        <f>C81+IF(A81&gt;Variables!$B$25,D81,0)</f>
        <v/>
      </c>
      <c r="F81" s="12">
        <f>C81+D81</f>
        <v/>
      </c>
      <c r="G81" s="11">
        <f>IF(A81&gt;Variables!$B$22,Variables!$B$12,0)</f>
        <v/>
      </c>
      <c r="H81" s="11">
        <f>IF(AND(A81&gt;Variables!$B$22,Variables!$B$14="Yes"),Variables!$B$13,0)</f>
        <v/>
      </c>
      <c r="I81" s="11">
        <f>IF(AA81&gt;Variables!$B$18,0,IF(AA81&gt;Variables!$B$19,CEILING((AA81-Variables!$B$19)/Variables!$B$21,1)*Variables!$B$20,0))</f>
        <v/>
      </c>
      <c r="J81" s="11">
        <f>IF(AA81&lt;=Variables!$B$18,MIN(Variables!$B$9-Variables!$B$8+I81,Variables!$B$26),0)</f>
        <v/>
      </c>
      <c r="K81" s="11">
        <f>IF(AA81&lt;=Variables!$B$18,Variables!$B$27,0)</f>
        <v/>
      </c>
      <c r="L81" s="11">
        <f>IF(AA81&gt;Variables!$B$18,G81+H81,Variables!$B$26-J81)</f>
        <v/>
      </c>
      <c r="M81" s="11">
        <f>IF(AA81&gt;Variables!$B$18,Variables!$B$2-G81-H81,J81+K81)</f>
        <v/>
      </c>
      <c r="N81" s="11">
        <f>Variables!$B$9-AC81</f>
        <v/>
      </c>
      <c r="O81" s="12">
        <f>F81+N81</f>
        <v/>
      </c>
      <c r="P81" s="12">
        <f>MAX(0,C81+N81)</f>
        <v/>
      </c>
      <c r="Q81" s="12">
        <f>D81+MIN(0,C81+N81)</f>
        <v/>
      </c>
      <c r="R81">
        <f>IF(AA81&gt;Variables!$B$18,"Self-funder",IF(AA81&gt;Variables!$B$19,"Tariff band - council contributing","Council pays standard rate"))</f>
        <v/>
      </c>
      <c r="S81" s="12">
        <f>Variables!$B$18</f>
        <v/>
      </c>
      <c r="T81" s="12">
        <f>Variables!$B$19</f>
        <v/>
      </c>
      <c r="U81">
        <f>AA81&lt;=Variables!$B$18</f>
        <v/>
      </c>
      <c r="V81">
        <f>AA81&lt;=Variables!$B$19</f>
        <v/>
      </c>
      <c r="W81">
        <f>P81&lt;=0</f>
        <v/>
      </c>
      <c r="X81" s="12">
        <f>Variables!$B$28</f>
        <v/>
      </c>
      <c r="Y81">
        <f>AB81&lt;=Variables!$B$28</f>
        <v/>
      </c>
      <c r="Z81">
        <f>AB81&lt;=Variables!$B$18</f>
        <v/>
      </c>
      <c r="AA81" s="12">
        <f>AB80</f>
        <v/>
      </c>
      <c r="AB81" s="12">
        <f>AA81+Variables!$B$9-M81</f>
        <v/>
      </c>
      <c r="AC81" s="11">
        <f>IF(MOD(A81-1,Variables!$B$30)=0,Variables!$B$30*M81,0)</f>
        <v/>
      </c>
      <c r="AD81" s="12">
        <f>IF(A81=MATCH(TRUE,$Y$2:$Y$261,0),MAX($AB$2:$AB$261),IF(A81=MATCH(TRUE,$Y$2:$Y$261,0)-1,0,NA()))</f>
        <v/>
      </c>
      <c r="AE81" s="12">
        <f>IF(A81=MATCH(TRUE,$Z$2:$Z$261,0),MAX($AB$2:$AB$261),IF(A81=MATCH(TRUE,$Z$2:$Z$261,0)-1,0,NA()))</f>
        <v/>
      </c>
    </row>
    <row r="82">
      <c r="A82" t="n">
        <v>81</v>
      </c>
      <c r="B82" s="14">
        <f>Variables!$B$24+(A82-1)*7</f>
        <v/>
      </c>
      <c r="C82" s="12">
        <f>P81</f>
        <v/>
      </c>
      <c r="D82" s="12">
        <f>Q81</f>
        <v/>
      </c>
      <c r="E82" s="12">
        <f>C82+IF(A82&gt;Variables!$B$25,D82,0)</f>
        <v/>
      </c>
      <c r="F82" s="12">
        <f>C82+D82</f>
        <v/>
      </c>
      <c r="G82" s="11">
        <f>IF(A82&gt;Variables!$B$22,Variables!$B$12,0)</f>
        <v/>
      </c>
      <c r="H82" s="11">
        <f>IF(AND(A82&gt;Variables!$B$22,Variables!$B$14="Yes"),Variables!$B$13,0)</f>
        <v/>
      </c>
      <c r="I82" s="11">
        <f>IF(AA82&gt;Variables!$B$18,0,IF(AA82&gt;Variables!$B$19,CEILING((AA82-Variables!$B$19)/Variables!$B$21,1)*Variables!$B$20,0))</f>
        <v/>
      </c>
      <c r="J82" s="11">
        <f>IF(AA82&lt;=Variables!$B$18,MIN(Variables!$B$9-Variables!$B$8+I82,Variables!$B$26),0)</f>
        <v/>
      </c>
      <c r="K82" s="11">
        <f>IF(AA82&lt;=Variables!$B$18,Variables!$B$27,0)</f>
        <v/>
      </c>
      <c r="L82" s="11">
        <f>IF(AA82&gt;Variables!$B$18,G82+H82,Variables!$B$26-J82)</f>
        <v/>
      </c>
      <c r="M82" s="11">
        <f>IF(AA82&gt;Variables!$B$18,Variables!$B$2-G82-H82,J82+K82)</f>
        <v/>
      </c>
      <c r="N82" s="11">
        <f>Variables!$B$9-AC82</f>
        <v/>
      </c>
      <c r="O82" s="12">
        <f>F82+N82</f>
        <v/>
      </c>
      <c r="P82" s="12">
        <f>MAX(0,C82+N82)</f>
        <v/>
      </c>
      <c r="Q82" s="12">
        <f>D82+MIN(0,C82+N82)</f>
        <v/>
      </c>
      <c r="R82">
        <f>IF(AA82&gt;Variables!$B$18,"Self-funder",IF(AA82&gt;Variables!$B$19,"Tariff band - council contributing","Council pays standard rate"))</f>
        <v/>
      </c>
      <c r="S82" s="12">
        <f>Variables!$B$18</f>
        <v/>
      </c>
      <c r="T82" s="12">
        <f>Variables!$B$19</f>
        <v/>
      </c>
      <c r="U82">
        <f>AA82&lt;=Variables!$B$18</f>
        <v/>
      </c>
      <c r="V82">
        <f>AA82&lt;=Variables!$B$19</f>
        <v/>
      </c>
      <c r="W82">
        <f>P82&lt;=0</f>
        <v/>
      </c>
      <c r="X82" s="12">
        <f>Variables!$B$28</f>
        <v/>
      </c>
      <c r="Y82">
        <f>AB82&lt;=Variables!$B$28</f>
        <v/>
      </c>
      <c r="Z82">
        <f>AB82&lt;=Variables!$B$18</f>
        <v/>
      </c>
      <c r="AA82" s="12">
        <f>AB81</f>
        <v/>
      </c>
      <c r="AB82" s="12">
        <f>AA82+Variables!$B$9-M82</f>
        <v/>
      </c>
      <c r="AC82" s="11">
        <f>IF(MOD(A82-1,Variables!$B$30)=0,Variables!$B$30*M82,0)</f>
        <v/>
      </c>
      <c r="AD82" s="12">
        <f>IF(A82=MATCH(TRUE,$Y$2:$Y$261,0),MAX($AB$2:$AB$261),IF(A82=MATCH(TRUE,$Y$2:$Y$261,0)-1,0,NA()))</f>
        <v/>
      </c>
      <c r="AE82" s="12">
        <f>IF(A82=MATCH(TRUE,$Z$2:$Z$261,0),MAX($AB$2:$AB$261),IF(A82=MATCH(TRUE,$Z$2:$Z$261,0)-1,0,NA()))</f>
        <v/>
      </c>
    </row>
    <row r="83">
      <c r="A83" t="n">
        <v>82</v>
      </c>
      <c r="B83" s="14">
        <f>Variables!$B$24+(A83-1)*7</f>
        <v/>
      </c>
      <c r="C83" s="12">
        <f>P82</f>
        <v/>
      </c>
      <c r="D83" s="12">
        <f>Q82</f>
        <v/>
      </c>
      <c r="E83" s="12">
        <f>C83+IF(A83&gt;Variables!$B$25,D83,0)</f>
        <v/>
      </c>
      <c r="F83" s="12">
        <f>C83+D83</f>
        <v/>
      </c>
      <c r="G83" s="11">
        <f>IF(A83&gt;Variables!$B$22,Variables!$B$12,0)</f>
        <v/>
      </c>
      <c r="H83" s="11">
        <f>IF(AND(A83&gt;Variables!$B$22,Variables!$B$14="Yes"),Variables!$B$13,0)</f>
        <v/>
      </c>
      <c r="I83" s="11">
        <f>IF(AA83&gt;Variables!$B$18,0,IF(AA83&gt;Variables!$B$19,CEILING((AA83-Variables!$B$19)/Variables!$B$21,1)*Variables!$B$20,0))</f>
        <v/>
      </c>
      <c r="J83" s="11">
        <f>IF(AA83&lt;=Variables!$B$18,MIN(Variables!$B$9-Variables!$B$8+I83,Variables!$B$26),0)</f>
        <v/>
      </c>
      <c r="K83" s="11">
        <f>IF(AA83&lt;=Variables!$B$18,Variables!$B$27,0)</f>
        <v/>
      </c>
      <c r="L83" s="11">
        <f>IF(AA83&gt;Variables!$B$18,G83+H83,Variables!$B$26-J83)</f>
        <v/>
      </c>
      <c r="M83" s="11">
        <f>IF(AA83&gt;Variables!$B$18,Variables!$B$2-G83-H83,J83+K83)</f>
        <v/>
      </c>
      <c r="N83" s="11">
        <f>Variables!$B$9-AC83</f>
        <v/>
      </c>
      <c r="O83" s="12">
        <f>F83+N83</f>
        <v/>
      </c>
      <c r="P83" s="12">
        <f>MAX(0,C83+N83)</f>
        <v/>
      </c>
      <c r="Q83" s="12">
        <f>D83+MIN(0,C83+N83)</f>
        <v/>
      </c>
      <c r="R83">
        <f>IF(AA83&gt;Variables!$B$18,"Self-funder",IF(AA83&gt;Variables!$B$19,"Tariff band - council contributing","Council pays standard rate"))</f>
        <v/>
      </c>
      <c r="S83" s="12">
        <f>Variables!$B$18</f>
        <v/>
      </c>
      <c r="T83" s="12">
        <f>Variables!$B$19</f>
        <v/>
      </c>
      <c r="U83">
        <f>AA83&lt;=Variables!$B$18</f>
        <v/>
      </c>
      <c r="V83">
        <f>AA83&lt;=Variables!$B$19</f>
        <v/>
      </c>
      <c r="W83">
        <f>P83&lt;=0</f>
        <v/>
      </c>
      <c r="X83" s="12">
        <f>Variables!$B$28</f>
        <v/>
      </c>
      <c r="Y83">
        <f>AB83&lt;=Variables!$B$28</f>
        <v/>
      </c>
      <c r="Z83">
        <f>AB83&lt;=Variables!$B$18</f>
        <v/>
      </c>
      <c r="AA83" s="12">
        <f>AB82</f>
        <v/>
      </c>
      <c r="AB83" s="12">
        <f>AA83+Variables!$B$9-M83</f>
        <v/>
      </c>
      <c r="AC83" s="11">
        <f>IF(MOD(A83-1,Variables!$B$30)=0,Variables!$B$30*M83,0)</f>
        <v/>
      </c>
      <c r="AD83" s="12">
        <f>IF(A83=MATCH(TRUE,$Y$2:$Y$261,0),MAX($AB$2:$AB$261),IF(A83=MATCH(TRUE,$Y$2:$Y$261,0)-1,0,NA()))</f>
        <v/>
      </c>
      <c r="AE83" s="12">
        <f>IF(A83=MATCH(TRUE,$Z$2:$Z$261,0),MAX($AB$2:$AB$261),IF(A83=MATCH(TRUE,$Z$2:$Z$261,0)-1,0,NA()))</f>
        <v/>
      </c>
    </row>
    <row r="84">
      <c r="A84" t="n">
        <v>83</v>
      </c>
      <c r="B84" s="14">
        <f>Variables!$B$24+(A84-1)*7</f>
        <v/>
      </c>
      <c r="C84" s="12">
        <f>P83</f>
        <v/>
      </c>
      <c r="D84" s="12">
        <f>Q83</f>
        <v/>
      </c>
      <c r="E84" s="12">
        <f>C84+IF(A84&gt;Variables!$B$25,D84,0)</f>
        <v/>
      </c>
      <c r="F84" s="12">
        <f>C84+D84</f>
        <v/>
      </c>
      <c r="G84" s="11">
        <f>IF(A84&gt;Variables!$B$22,Variables!$B$12,0)</f>
        <v/>
      </c>
      <c r="H84" s="11">
        <f>IF(AND(A84&gt;Variables!$B$22,Variables!$B$14="Yes"),Variables!$B$13,0)</f>
        <v/>
      </c>
      <c r="I84" s="11">
        <f>IF(AA84&gt;Variables!$B$18,0,IF(AA84&gt;Variables!$B$19,CEILING((AA84-Variables!$B$19)/Variables!$B$21,1)*Variables!$B$20,0))</f>
        <v/>
      </c>
      <c r="J84" s="11">
        <f>IF(AA84&lt;=Variables!$B$18,MIN(Variables!$B$9-Variables!$B$8+I84,Variables!$B$26),0)</f>
        <v/>
      </c>
      <c r="K84" s="11">
        <f>IF(AA84&lt;=Variables!$B$18,Variables!$B$27,0)</f>
        <v/>
      </c>
      <c r="L84" s="11">
        <f>IF(AA84&gt;Variables!$B$18,G84+H84,Variables!$B$26-J84)</f>
        <v/>
      </c>
      <c r="M84" s="11">
        <f>IF(AA84&gt;Variables!$B$18,Variables!$B$2-G84-H84,J84+K84)</f>
        <v/>
      </c>
      <c r="N84" s="11">
        <f>Variables!$B$9-AC84</f>
        <v/>
      </c>
      <c r="O84" s="12">
        <f>F84+N84</f>
        <v/>
      </c>
      <c r="P84" s="12">
        <f>MAX(0,C84+N84)</f>
        <v/>
      </c>
      <c r="Q84" s="12">
        <f>D84+MIN(0,C84+N84)</f>
        <v/>
      </c>
      <c r="R84">
        <f>IF(AA84&gt;Variables!$B$18,"Self-funder",IF(AA84&gt;Variables!$B$19,"Tariff band - council contributing","Council pays standard rate"))</f>
        <v/>
      </c>
      <c r="S84" s="12">
        <f>Variables!$B$18</f>
        <v/>
      </c>
      <c r="T84" s="12">
        <f>Variables!$B$19</f>
        <v/>
      </c>
      <c r="U84">
        <f>AA84&lt;=Variables!$B$18</f>
        <v/>
      </c>
      <c r="V84">
        <f>AA84&lt;=Variables!$B$19</f>
        <v/>
      </c>
      <c r="W84">
        <f>P84&lt;=0</f>
        <v/>
      </c>
      <c r="X84" s="12">
        <f>Variables!$B$28</f>
        <v/>
      </c>
      <c r="Y84">
        <f>AB84&lt;=Variables!$B$28</f>
        <v/>
      </c>
      <c r="Z84">
        <f>AB84&lt;=Variables!$B$18</f>
        <v/>
      </c>
      <c r="AA84" s="12">
        <f>AB83</f>
        <v/>
      </c>
      <c r="AB84" s="12">
        <f>AA84+Variables!$B$9-M84</f>
        <v/>
      </c>
      <c r="AC84" s="11">
        <f>IF(MOD(A84-1,Variables!$B$30)=0,Variables!$B$30*M84,0)</f>
        <v/>
      </c>
      <c r="AD84" s="12">
        <f>IF(A84=MATCH(TRUE,$Y$2:$Y$261,0),MAX($AB$2:$AB$261),IF(A84=MATCH(TRUE,$Y$2:$Y$261,0)-1,0,NA()))</f>
        <v/>
      </c>
      <c r="AE84" s="12">
        <f>IF(A84=MATCH(TRUE,$Z$2:$Z$261,0),MAX($AB$2:$AB$261),IF(A84=MATCH(TRUE,$Z$2:$Z$261,0)-1,0,NA()))</f>
        <v/>
      </c>
    </row>
    <row r="85">
      <c r="A85" t="n">
        <v>84</v>
      </c>
      <c r="B85" s="14">
        <f>Variables!$B$24+(A85-1)*7</f>
        <v/>
      </c>
      <c r="C85" s="12">
        <f>P84</f>
        <v/>
      </c>
      <c r="D85" s="12">
        <f>Q84</f>
        <v/>
      </c>
      <c r="E85" s="12">
        <f>C85+IF(A85&gt;Variables!$B$25,D85,0)</f>
        <v/>
      </c>
      <c r="F85" s="12">
        <f>C85+D85</f>
        <v/>
      </c>
      <c r="G85" s="11">
        <f>IF(A85&gt;Variables!$B$22,Variables!$B$12,0)</f>
        <v/>
      </c>
      <c r="H85" s="11">
        <f>IF(AND(A85&gt;Variables!$B$22,Variables!$B$14="Yes"),Variables!$B$13,0)</f>
        <v/>
      </c>
      <c r="I85" s="11">
        <f>IF(AA85&gt;Variables!$B$18,0,IF(AA85&gt;Variables!$B$19,CEILING((AA85-Variables!$B$19)/Variables!$B$21,1)*Variables!$B$20,0))</f>
        <v/>
      </c>
      <c r="J85" s="11">
        <f>IF(AA85&lt;=Variables!$B$18,MIN(Variables!$B$9-Variables!$B$8+I85,Variables!$B$26),0)</f>
        <v/>
      </c>
      <c r="K85" s="11">
        <f>IF(AA85&lt;=Variables!$B$18,Variables!$B$27,0)</f>
        <v/>
      </c>
      <c r="L85" s="11">
        <f>IF(AA85&gt;Variables!$B$18,G85+H85,Variables!$B$26-J85)</f>
        <v/>
      </c>
      <c r="M85" s="11">
        <f>IF(AA85&gt;Variables!$B$18,Variables!$B$2-G85-H85,J85+K85)</f>
        <v/>
      </c>
      <c r="N85" s="11">
        <f>Variables!$B$9-AC85</f>
        <v/>
      </c>
      <c r="O85" s="12">
        <f>F85+N85</f>
        <v/>
      </c>
      <c r="P85" s="12">
        <f>MAX(0,C85+N85)</f>
        <v/>
      </c>
      <c r="Q85" s="12">
        <f>D85+MIN(0,C85+N85)</f>
        <v/>
      </c>
      <c r="R85">
        <f>IF(AA85&gt;Variables!$B$18,"Self-funder",IF(AA85&gt;Variables!$B$19,"Tariff band - council contributing","Council pays standard rate"))</f>
        <v/>
      </c>
      <c r="S85" s="12">
        <f>Variables!$B$18</f>
        <v/>
      </c>
      <c r="T85" s="12">
        <f>Variables!$B$19</f>
        <v/>
      </c>
      <c r="U85">
        <f>AA85&lt;=Variables!$B$18</f>
        <v/>
      </c>
      <c r="V85">
        <f>AA85&lt;=Variables!$B$19</f>
        <v/>
      </c>
      <c r="W85">
        <f>P85&lt;=0</f>
        <v/>
      </c>
      <c r="X85" s="12">
        <f>Variables!$B$28</f>
        <v/>
      </c>
      <c r="Y85">
        <f>AB85&lt;=Variables!$B$28</f>
        <v/>
      </c>
      <c r="Z85">
        <f>AB85&lt;=Variables!$B$18</f>
        <v/>
      </c>
      <c r="AA85" s="12">
        <f>AB84</f>
        <v/>
      </c>
      <c r="AB85" s="12">
        <f>AA85+Variables!$B$9-M85</f>
        <v/>
      </c>
      <c r="AC85" s="11">
        <f>IF(MOD(A85-1,Variables!$B$30)=0,Variables!$B$30*M85,0)</f>
        <v/>
      </c>
      <c r="AD85" s="12">
        <f>IF(A85=MATCH(TRUE,$Y$2:$Y$261,0),MAX($AB$2:$AB$261),IF(A85=MATCH(TRUE,$Y$2:$Y$261,0)-1,0,NA()))</f>
        <v/>
      </c>
      <c r="AE85" s="12">
        <f>IF(A85=MATCH(TRUE,$Z$2:$Z$261,0),MAX($AB$2:$AB$261),IF(A85=MATCH(TRUE,$Z$2:$Z$261,0)-1,0,NA()))</f>
        <v/>
      </c>
    </row>
    <row r="86">
      <c r="A86" t="n">
        <v>85</v>
      </c>
      <c r="B86" s="14">
        <f>Variables!$B$24+(A86-1)*7</f>
        <v/>
      </c>
      <c r="C86" s="12">
        <f>P85</f>
        <v/>
      </c>
      <c r="D86" s="12">
        <f>Q85</f>
        <v/>
      </c>
      <c r="E86" s="12">
        <f>C86+IF(A86&gt;Variables!$B$25,D86,0)</f>
        <v/>
      </c>
      <c r="F86" s="12">
        <f>C86+D86</f>
        <v/>
      </c>
      <c r="G86" s="11">
        <f>IF(A86&gt;Variables!$B$22,Variables!$B$12,0)</f>
        <v/>
      </c>
      <c r="H86" s="11">
        <f>IF(AND(A86&gt;Variables!$B$22,Variables!$B$14="Yes"),Variables!$B$13,0)</f>
        <v/>
      </c>
      <c r="I86" s="11">
        <f>IF(AA86&gt;Variables!$B$18,0,IF(AA86&gt;Variables!$B$19,CEILING((AA86-Variables!$B$19)/Variables!$B$21,1)*Variables!$B$20,0))</f>
        <v/>
      </c>
      <c r="J86" s="11">
        <f>IF(AA86&lt;=Variables!$B$18,MIN(Variables!$B$9-Variables!$B$8+I86,Variables!$B$26),0)</f>
        <v/>
      </c>
      <c r="K86" s="11">
        <f>IF(AA86&lt;=Variables!$B$18,Variables!$B$27,0)</f>
        <v/>
      </c>
      <c r="L86" s="11">
        <f>IF(AA86&gt;Variables!$B$18,G86+H86,Variables!$B$26-J86)</f>
        <v/>
      </c>
      <c r="M86" s="11">
        <f>IF(AA86&gt;Variables!$B$18,Variables!$B$2-G86-H86,J86+K86)</f>
        <v/>
      </c>
      <c r="N86" s="11">
        <f>Variables!$B$9-AC86</f>
        <v/>
      </c>
      <c r="O86" s="12">
        <f>F86+N86</f>
        <v/>
      </c>
      <c r="P86" s="12">
        <f>MAX(0,C86+N86)</f>
        <v/>
      </c>
      <c r="Q86" s="12">
        <f>D86+MIN(0,C86+N86)</f>
        <v/>
      </c>
      <c r="R86">
        <f>IF(AA86&gt;Variables!$B$18,"Self-funder",IF(AA86&gt;Variables!$B$19,"Tariff band - council contributing","Council pays standard rate"))</f>
        <v/>
      </c>
      <c r="S86" s="12">
        <f>Variables!$B$18</f>
        <v/>
      </c>
      <c r="T86" s="12">
        <f>Variables!$B$19</f>
        <v/>
      </c>
      <c r="U86">
        <f>AA86&lt;=Variables!$B$18</f>
        <v/>
      </c>
      <c r="V86">
        <f>AA86&lt;=Variables!$B$19</f>
        <v/>
      </c>
      <c r="W86">
        <f>P86&lt;=0</f>
        <v/>
      </c>
      <c r="X86" s="12">
        <f>Variables!$B$28</f>
        <v/>
      </c>
      <c r="Y86">
        <f>AB86&lt;=Variables!$B$28</f>
        <v/>
      </c>
      <c r="Z86">
        <f>AB86&lt;=Variables!$B$18</f>
        <v/>
      </c>
      <c r="AA86" s="12">
        <f>AB85</f>
        <v/>
      </c>
      <c r="AB86" s="12">
        <f>AA86+Variables!$B$9-M86</f>
        <v/>
      </c>
      <c r="AC86" s="11">
        <f>IF(MOD(A86-1,Variables!$B$30)=0,Variables!$B$30*M86,0)</f>
        <v/>
      </c>
      <c r="AD86" s="12">
        <f>IF(A86=MATCH(TRUE,$Y$2:$Y$261,0),MAX($AB$2:$AB$261),IF(A86=MATCH(TRUE,$Y$2:$Y$261,0)-1,0,NA()))</f>
        <v/>
      </c>
      <c r="AE86" s="12">
        <f>IF(A86=MATCH(TRUE,$Z$2:$Z$261,0),MAX($AB$2:$AB$261),IF(A86=MATCH(TRUE,$Z$2:$Z$261,0)-1,0,NA()))</f>
        <v/>
      </c>
    </row>
    <row r="87">
      <c r="A87" t="n">
        <v>86</v>
      </c>
      <c r="B87" s="14">
        <f>Variables!$B$24+(A87-1)*7</f>
        <v/>
      </c>
      <c r="C87" s="12">
        <f>P86</f>
        <v/>
      </c>
      <c r="D87" s="12">
        <f>Q86</f>
        <v/>
      </c>
      <c r="E87" s="12">
        <f>C87+IF(A87&gt;Variables!$B$25,D87,0)</f>
        <v/>
      </c>
      <c r="F87" s="12">
        <f>C87+D87</f>
        <v/>
      </c>
      <c r="G87" s="11">
        <f>IF(A87&gt;Variables!$B$22,Variables!$B$12,0)</f>
        <v/>
      </c>
      <c r="H87" s="11">
        <f>IF(AND(A87&gt;Variables!$B$22,Variables!$B$14="Yes"),Variables!$B$13,0)</f>
        <v/>
      </c>
      <c r="I87" s="11">
        <f>IF(AA87&gt;Variables!$B$18,0,IF(AA87&gt;Variables!$B$19,CEILING((AA87-Variables!$B$19)/Variables!$B$21,1)*Variables!$B$20,0))</f>
        <v/>
      </c>
      <c r="J87" s="11">
        <f>IF(AA87&lt;=Variables!$B$18,MIN(Variables!$B$9-Variables!$B$8+I87,Variables!$B$26),0)</f>
        <v/>
      </c>
      <c r="K87" s="11">
        <f>IF(AA87&lt;=Variables!$B$18,Variables!$B$27,0)</f>
        <v/>
      </c>
      <c r="L87" s="11">
        <f>IF(AA87&gt;Variables!$B$18,G87+H87,Variables!$B$26-J87)</f>
        <v/>
      </c>
      <c r="M87" s="11">
        <f>IF(AA87&gt;Variables!$B$18,Variables!$B$2-G87-H87,J87+K87)</f>
        <v/>
      </c>
      <c r="N87" s="11">
        <f>Variables!$B$9-AC87</f>
        <v/>
      </c>
      <c r="O87" s="12">
        <f>F87+N87</f>
        <v/>
      </c>
      <c r="P87" s="12">
        <f>MAX(0,C87+N87)</f>
        <v/>
      </c>
      <c r="Q87" s="12">
        <f>D87+MIN(0,C87+N87)</f>
        <v/>
      </c>
      <c r="R87">
        <f>IF(AA87&gt;Variables!$B$18,"Self-funder",IF(AA87&gt;Variables!$B$19,"Tariff band - council contributing","Council pays standard rate"))</f>
        <v/>
      </c>
      <c r="S87" s="12">
        <f>Variables!$B$18</f>
        <v/>
      </c>
      <c r="T87" s="12">
        <f>Variables!$B$19</f>
        <v/>
      </c>
      <c r="U87">
        <f>AA87&lt;=Variables!$B$18</f>
        <v/>
      </c>
      <c r="V87">
        <f>AA87&lt;=Variables!$B$19</f>
        <v/>
      </c>
      <c r="W87">
        <f>P87&lt;=0</f>
        <v/>
      </c>
      <c r="X87" s="12">
        <f>Variables!$B$28</f>
        <v/>
      </c>
      <c r="Y87">
        <f>AB87&lt;=Variables!$B$28</f>
        <v/>
      </c>
      <c r="Z87">
        <f>AB87&lt;=Variables!$B$18</f>
        <v/>
      </c>
      <c r="AA87" s="12">
        <f>AB86</f>
        <v/>
      </c>
      <c r="AB87" s="12">
        <f>AA87+Variables!$B$9-M87</f>
        <v/>
      </c>
      <c r="AC87" s="11">
        <f>IF(MOD(A87-1,Variables!$B$30)=0,Variables!$B$30*M87,0)</f>
        <v/>
      </c>
      <c r="AD87" s="12">
        <f>IF(A87=MATCH(TRUE,$Y$2:$Y$261,0),MAX($AB$2:$AB$261),IF(A87=MATCH(TRUE,$Y$2:$Y$261,0)-1,0,NA()))</f>
        <v/>
      </c>
      <c r="AE87" s="12">
        <f>IF(A87=MATCH(TRUE,$Z$2:$Z$261,0),MAX($AB$2:$AB$261),IF(A87=MATCH(TRUE,$Z$2:$Z$261,0)-1,0,NA()))</f>
        <v/>
      </c>
    </row>
    <row r="88">
      <c r="A88" t="n">
        <v>87</v>
      </c>
      <c r="B88" s="14">
        <f>Variables!$B$24+(A88-1)*7</f>
        <v/>
      </c>
      <c r="C88" s="12">
        <f>P87</f>
        <v/>
      </c>
      <c r="D88" s="12">
        <f>Q87</f>
        <v/>
      </c>
      <c r="E88" s="12">
        <f>C88+IF(A88&gt;Variables!$B$25,D88,0)</f>
        <v/>
      </c>
      <c r="F88" s="12">
        <f>C88+D88</f>
        <v/>
      </c>
      <c r="G88" s="11">
        <f>IF(A88&gt;Variables!$B$22,Variables!$B$12,0)</f>
        <v/>
      </c>
      <c r="H88" s="11">
        <f>IF(AND(A88&gt;Variables!$B$22,Variables!$B$14="Yes"),Variables!$B$13,0)</f>
        <v/>
      </c>
      <c r="I88" s="11">
        <f>IF(AA88&gt;Variables!$B$18,0,IF(AA88&gt;Variables!$B$19,CEILING((AA88-Variables!$B$19)/Variables!$B$21,1)*Variables!$B$20,0))</f>
        <v/>
      </c>
      <c r="J88" s="11">
        <f>IF(AA88&lt;=Variables!$B$18,MIN(Variables!$B$9-Variables!$B$8+I88,Variables!$B$26),0)</f>
        <v/>
      </c>
      <c r="K88" s="11">
        <f>IF(AA88&lt;=Variables!$B$18,Variables!$B$27,0)</f>
        <v/>
      </c>
      <c r="L88" s="11">
        <f>IF(AA88&gt;Variables!$B$18,G88+H88,Variables!$B$26-J88)</f>
        <v/>
      </c>
      <c r="M88" s="11">
        <f>IF(AA88&gt;Variables!$B$18,Variables!$B$2-G88-H88,J88+K88)</f>
        <v/>
      </c>
      <c r="N88" s="11">
        <f>Variables!$B$9-AC88</f>
        <v/>
      </c>
      <c r="O88" s="12">
        <f>F88+N88</f>
        <v/>
      </c>
      <c r="P88" s="12">
        <f>MAX(0,C88+N88)</f>
        <v/>
      </c>
      <c r="Q88" s="12">
        <f>D88+MIN(0,C88+N88)</f>
        <v/>
      </c>
      <c r="R88">
        <f>IF(AA88&gt;Variables!$B$18,"Self-funder",IF(AA88&gt;Variables!$B$19,"Tariff band - council contributing","Council pays standard rate"))</f>
        <v/>
      </c>
      <c r="S88" s="12">
        <f>Variables!$B$18</f>
        <v/>
      </c>
      <c r="T88" s="12">
        <f>Variables!$B$19</f>
        <v/>
      </c>
      <c r="U88">
        <f>AA88&lt;=Variables!$B$18</f>
        <v/>
      </c>
      <c r="V88">
        <f>AA88&lt;=Variables!$B$19</f>
        <v/>
      </c>
      <c r="W88">
        <f>P88&lt;=0</f>
        <v/>
      </c>
      <c r="X88" s="12">
        <f>Variables!$B$28</f>
        <v/>
      </c>
      <c r="Y88">
        <f>AB88&lt;=Variables!$B$28</f>
        <v/>
      </c>
      <c r="Z88">
        <f>AB88&lt;=Variables!$B$18</f>
        <v/>
      </c>
      <c r="AA88" s="12">
        <f>AB87</f>
        <v/>
      </c>
      <c r="AB88" s="12">
        <f>AA88+Variables!$B$9-M88</f>
        <v/>
      </c>
      <c r="AC88" s="11">
        <f>IF(MOD(A88-1,Variables!$B$30)=0,Variables!$B$30*M88,0)</f>
        <v/>
      </c>
      <c r="AD88" s="12">
        <f>IF(A88=MATCH(TRUE,$Y$2:$Y$261,0),MAX($AB$2:$AB$261),IF(A88=MATCH(TRUE,$Y$2:$Y$261,0)-1,0,NA()))</f>
        <v/>
      </c>
      <c r="AE88" s="12">
        <f>IF(A88=MATCH(TRUE,$Z$2:$Z$261,0),MAX($AB$2:$AB$261),IF(A88=MATCH(TRUE,$Z$2:$Z$261,0)-1,0,NA()))</f>
        <v/>
      </c>
    </row>
    <row r="89">
      <c r="A89" t="n">
        <v>88</v>
      </c>
      <c r="B89" s="14">
        <f>Variables!$B$24+(A89-1)*7</f>
        <v/>
      </c>
      <c r="C89" s="12">
        <f>P88</f>
        <v/>
      </c>
      <c r="D89" s="12">
        <f>Q88</f>
        <v/>
      </c>
      <c r="E89" s="12">
        <f>C89+IF(A89&gt;Variables!$B$25,D89,0)</f>
        <v/>
      </c>
      <c r="F89" s="12">
        <f>C89+D89</f>
        <v/>
      </c>
      <c r="G89" s="11">
        <f>IF(A89&gt;Variables!$B$22,Variables!$B$12,0)</f>
        <v/>
      </c>
      <c r="H89" s="11">
        <f>IF(AND(A89&gt;Variables!$B$22,Variables!$B$14="Yes"),Variables!$B$13,0)</f>
        <v/>
      </c>
      <c r="I89" s="11">
        <f>IF(AA89&gt;Variables!$B$18,0,IF(AA89&gt;Variables!$B$19,CEILING((AA89-Variables!$B$19)/Variables!$B$21,1)*Variables!$B$20,0))</f>
        <v/>
      </c>
      <c r="J89" s="11">
        <f>IF(AA89&lt;=Variables!$B$18,MIN(Variables!$B$9-Variables!$B$8+I89,Variables!$B$26),0)</f>
        <v/>
      </c>
      <c r="K89" s="11">
        <f>IF(AA89&lt;=Variables!$B$18,Variables!$B$27,0)</f>
        <v/>
      </c>
      <c r="L89" s="11">
        <f>IF(AA89&gt;Variables!$B$18,G89+H89,Variables!$B$26-J89)</f>
        <v/>
      </c>
      <c r="M89" s="11">
        <f>IF(AA89&gt;Variables!$B$18,Variables!$B$2-G89-H89,J89+K89)</f>
        <v/>
      </c>
      <c r="N89" s="11">
        <f>Variables!$B$9-AC89</f>
        <v/>
      </c>
      <c r="O89" s="12">
        <f>F89+N89</f>
        <v/>
      </c>
      <c r="P89" s="12">
        <f>MAX(0,C89+N89)</f>
        <v/>
      </c>
      <c r="Q89" s="12">
        <f>D89+MIN(0,C89+N89)</f>
        <v/>
      </c>
      <c r="R89">
        <f>IF(AA89&gt;Variables!$B$18,"Self-funder",IF(AA89&gt;Variables!$B$19,"Tariff band - council contributing","Council pays standard rate"))</f>
        <v/>
      </c>
      <c r="S89" s="12">
        <f>Variables!$B$18</f>
        <v/>
      </c>
      <c r="T89" s="12">
        <f>Variables!$B$19</f>
        <v/>
      </c>
      <c r="U89">
        <f>AA89&lt;=Variables!$B$18</f>
        <v/>
      </c>
      <c r="V89">
        <f>AA89&lt;=Variables!$B$19</f>
        <v/>
      </c>
      <c r="W89">
        <f>P89&lt;=0</f>
        <v/>
      </c>
      <c r="X89" s="12">
        <f>Variables!$B$28</f>
        <v/>
      </c>
      <c r="Y89">
        <f>AB89&lt;=Variables!$B$28</f>
        <v/>
      </c>
      <c r="Z89">
        <f>AB89&lt;=Variables!$B$18</f>
        <v/>
      </c>
      <c r="AA89" s="12">
        <f>AB88</f>
        <v/>
      </c>
      <c r="AB89" s="12">
        <f>AA89+Variables!$B$9-M89</f>
        <v/>
      </c>
      <c r="AC89" s="11">
        <f>IF(MOD(A89-1,Variables!$B$30)=0,Variables!$B$30*M89,0)</f>
        <v/>
      </c>
      <c r="AD89" s="12">
        <f>IF(A89=MATCH(TRUE,$Y$2:$Y$261,0),MAX($AB$2:$AB$261),IF(A89=MATCH(TRUE,$Y$2:$Y$261,0)-1,0,NA()))</f>
        <v/>
      </c>
      <c r="AE89" s="12">
        <f>IF(A89=MATCH(TRUE,$Z$2:$Z$261,0),MAX($AB$2:$AB$261),IF(A89=MATCH(TRUE,$Z$2:$Z$261,0)-1,0,NA()))</f>
        <v/>
      </c>
    </row>
    <row r="90">
      <c r="A90" t="n">
        <v>89</v>
      </c>
      <c r="B90" s="14">
        <f>Variables!$B$24+(A90-1)*7</f>
        <v/>
      </c>
      <c r="C90" s="12">
        <f>P89</f>
        <v/>
      </c>
      <c r="D90" s="12">
        <f>Q89</f>
        <v/>
      </c>
      <c r="E90" s="12">
        <f>C90+IF(A90&gt;Variables!$B$25,D90,0)</f>
        <v/>
      </c>
      <c r="F90" s="12">
        <f>C90+D90</f>
        <v/>
      </c>
      <c r="G90" s="11">
        <f>IF(A90&gt;Variables!$B$22,Variables!$B$12,0)</f>
        <v/>
      </c>
      <c r="H90" s="11">
        <f>IF(AND(A90&gt;Variables!$B$22,Variables!$B$14="Yes"),Variables!$B$13,0)</f>
        <v/>
      </c>
      <c r="I90" s="11">
        <f>IF(AA90&gt;Variables!$B$18,0,IF(AA90&gt;Variables!$B$19,CEILING((AA90-Variables!$B$19)/Variables!$B$21,1)*Variables!$B$20,0))</f>
        <v/>
      </c>
      <c r="J90" s="11">
        <f>IF(AA90&lt;=Variables!$B$18,MIN(Variables!$B$9-Variables!$B$8+I90,Variables!$B$26),0)</f>
        <v/>
      </c>
      <c r="K90" s="11">
        <f>IF(AA90&lt;=Variables!$B$18,Variables!$B$27,0)</f>
        <v/>
      </c>
      <c r="L90" s="11">
        <f>IF(AA90&gt;Variables!$B$18,G90+H90,Variables!$B$26-J90)</f>
        <v/>
      </c>
      <c r="M90" s="11">
        <f>IF(AA90&gt;Variables!$B$18,Variables!$B$2-G90-H90,J90+K90)</f>
        <v/>
      </c>
      <c r="N90" s="11">
        <f>Variables!$B$9-AC90</f>
        <v/>
      </c>
      <c r="O90" s="12">
        <f>F90+N90</f>
        <v/>
      </c>
      <c r="P90" s="12">
        <f>MAX(0,C90+N90)</f>
        <v/>
      </c>
      <c r="Q90" s="12">
        <f>D90+MIN(0,C90+N90)</f>
        <v/>
      </c>
      <c r="R90">
        <f>IF(AA90&gt;Variables!$B$18,"Self-funder",IF(AA90&gt;Variables!$B$19,"Tariff band - council contributing","Council pays standard rate"))</f>
        <v/>
      </c>
      <c r="S90" s="12">
        <f>Variables!$B$18</f>
        <v/>
      </c>
      <c r="T90" s="12">
        <f>Variables!$B$19</f>
        <v/>
      </c>
      <c r="U90">
        <f>AA90&lt;=Variables!$B$18</f>
        <v/>
      </c>
      <c r="V90">
        <f>AA90&lt;=Variables!$B$19</f>
        <v/>
      </c>
      <c r="W90">
        <f>P90&lt;=0</f>
        <v/>
      </c>
      <c r="X90" s="12">
        <f>Variables!$B$28</f>
        <v/>
      </c>
      <c r="Y90">
        <f>AB90&lt;=Variables!$B$28</f>
        <v/>
      </c>
      <c r="Z90">
        <f>AB90&lt;=Variables!$B$18</f>
        <v/>
      </c>
      <c r="AA90" s="12">
        <f>AB89</f>
        <v/>
      </c>
      <c r="AB90" s="12">
        <f>AA90+Variables!$B$9-M90</f>
        <v/>
      </c>
      <c r="AC90" s="11">
        <f>IF(MOD(A90-1,Variables!$B$30)=0,Variables!$B$30*M90,0)</f>
        <v/>
      </c>
      <c r="AD90" s="12">
        <f>IF(A90=MATCH(TRUE,$Y$2:$Y$261,0),MAX($AB$2:$AB$261),IF(A90=MATCH(TRUE,$Y$2:$Y$261,0)-1,0,NA()))</f>
        <v/>
      </c>
      <c r="AE90" s="12">
        <f>IF(A90=MATCH(TRUE,$Z$2:$Z$261,0),MAX($AB$2:$AB$261),IF(A90=MATCH(TRUE,$Z$2:$Z$261,0)-1,0,NA()))</f>
        <v/>
      </c>
    </row>
    <row r="91">
      <c r="A91" t="n">
        <v>90</v>
      </c>
      <c r="B91" s="14">
        <f>Variables!$B$24+(A91-1)*7</f>
        <v/>
      </c>
      <c r="C91" s="12">
        <f>P90</f>
        <v/>
      </c>
      <c r="D91" s="12">
        <f>Q90</f>
        <v/>
      </c>
      <c r="E91" s="12">
        <f>C91+IF(A91&gt;Variables!$B$25,D91,0)</f>
        <v/>
      </c>
      <c r="F91" s="12">
        <f>C91+D91</f>
        <v/>
      </c>
      <c r="G91" s="11">
        <f>IF(A91&gt;Variables!$B$22,Variables!$B$12,0)</f>
        <v/>
      </c>
      <c r="H91" s="11">
        <f>IF(AND(A91&gt;Variables!$B$22,Variables!$B$14="Yes"),Variables!$B$13,0)</f>
        <v/>
      </c>
      <c r="I91" s="11">
        <f>IF(AA91&gt;Variables!$B$18,0,IF(AA91&gt;Variables!$B$19,CEILING((AA91-Variables!$B$19)/Variables!$B$21,1)*Variables!$B$20,0))</f>
        <v/>
      </c>
      <c r="J91" s="11">
        <f>IF(AA91&lt;=Variables!$B$18,MIN(Variables!$B$9-Variables!$B$8+I91,Variables!$B$26),0)</f>
        <v/>
      </c>
      <c r="K91" s="11">
        <f>IF(AA91&lt;=Variables!$B$18,Variables!$B$27,0)</f>
        <v/>
      </c>
      <c r="L91" s="11">
        <f>IF(AA91&gt;Variables!$B$18,G91+H91,Variables!$B$26-J91)</f>
        <v/>
      </c>
      <c r="M91" s="11">
        <f>IF(AA91&gt;Variables!$B$18,Variables!$B$2-G91-H91,J91+K91)</f>
        <v/>
      </c>
      <c r="N91" s="11">
        <f>Variables!$B$9-AC91</f>
        <v/>
      </c>
      <c r="O91" s="12">
        <f>F91+N91</f>
        <v/>
      </c>
      <c r="P91" s="12">
        <f>MAX(0,C91+N91)</f>
        <v/>
      </c>
      <c r="Q91" s="12">
        <f>D91+MIN(0,C91+N91)</f>
        <v/>
      </c>
      <c r="R91">
        <f>IF(AA91&gt;Variables!$B$18,"Self-funder",IF(AA91&gt;Variables!$B$19,"Tariff band - council contributing","Council pays standard rate"))</f>
        <v/>
      </c>
      <c r="S91" s="12">
        <f>Variables!$B$18</f>
        <v/>
      </c>
      <c r="T91" s="12">
        <f>Variables!$B$19</f>
        <v/>
      </c>
      <c r="U91">
        <f>AA91&lt;=Variables!$B$18</f>
        <v/>
      </c>
      <c r="V91">
        <f>AA91&lt;=Variables!$B$19</f>
        <v/>
      </c>
      <c r="W91">
        <f>P91&lt;=0</f>
        <v/>
      </c>
      <c r="X91" s="12">
        <f>Variables!$B$28</f>
        <v/>
      </c>
      <c r="Y91">
        <f>AB91&lt;=Variables!$B$28</f>
        <v/>
      </c>
      <c r="Z91">
        <f>AB91&lt;=Variables!$B$18</f>
        <v/>
      </c>
      <c r="AA91" s="12">
        <f>AB90</f>
        <v/>
      </c>
      <c r="AB91" s="12">
        <f>AA91+Variables!$B$9-M91</f>
        <v/>
      </c>
      <c r="AC91" s="11">
        <f>IF(MOD(A91-1,Variables!$B$30)=0,Variables!$B$30*M91,0)</f>
        <v/>
      </c>
      <c r="AD91" s="12">
        <f>IF(A91=MATCH(TRUE,$Y$2:$Y$261,0),MAX($AB$2:$AB$261),IF(A91=MATCH(TRUE,$Y$2:$Y$261,0)-1,0,NA()))</f>
        <v/>
      </c>
      <c r="AE91" s="12">
        <f>IF(A91=MATCH(TRUE,$Z$2:$Z$261,0),MAX($AB$2:$AB$261),IF(A91=MATCH(TRUE,$Z$2:$Z$261,0)-1,0,NA()))</f>
        <v/>
      </c>
    </row>
    <row r="92">
      <c r="A92" t="n">
        <v>91</v>
      </c>
      <c r="B92" s="14">
        <f>Variables!$B$24+(A92-1)*7</f>
        <v/>
      </c>
      <c r="C92" s="12">
        <f>P91</f>
        <v/>
      </c>
      <c r="D92" s="12">
        <f>Q91</f>
        <v/>
      </c>
      <c r="E92" s="12">
        <f>C92+IF(A92&gt;Variables!$B$25,D92,0)</f>
        <v/>
      </c>
      <c r="F92" s="12">
        <f>C92+D92</f>
        <v/>
      </c>
      <c r="G92" s="11">
        <f>IF(A92&gt;Variables!$B$22,Variables!$B$12,0)</f>
        <v/>
      </c>
      <c r="H92" s="11">
        <f>IF(AND(A92&gt;Variables!$B$22,Variables!$B$14="Yes"),Variables!$B$13,0)</f>
        <v/>
      </c>
      <c r="I92" s="11">
        <f>IF(AA92&gt;Variables!$B$18,0,IF(AA92&gt;Variables!$B$19,CEILING((AA92-Variables!$B$19)/Variables!$B$21,1)*Variables!$B$20,0))</f>
        <v/>
      </c>
      <c r="J92" s="11">
        <f>IF(AA92&lt;=Variables!$B$18,MIN(Variables!$B$9-Variables!$B$8+I92,Variables!$B$26),0)</f>
        <v/>
      </c>
      <c r="K92" s="11">
        <f>IF(AA92&lt;=Variables!$B$18,Variables!$B$27,0)</f>
        <v/>
      </c>
      <c r="L92" s="11">
        <f>IF(AA92&gt;Variables!$B$18,G92+H92,Variables!$B$26-J92)</f>
        <v/>
      </c>
      <c r="M92" s="11">
        <f>IF(AA92&gt;Variables!$B$18,Variables!$B$2-G92-H92,J92+K92)</f>
        <v/>
      </c>
      <c r="N92" s="11">
        <f>Variables!$B$9-AC92</f>
        <v/>
      </c>
      <c r="O92" s="12">
        <f>F92+N92</f>
        <v/>
      </c>
      <c r="P92" s="12">
        <f>MAX(0,C92+N92)</f>
        <v/>
      </c>
      <c r="Q92" s="12">
        <f>D92+MIN(0,C92+N92)</f>
        <v/>
      </c>
      <c r="R92">
        <f>IF(AA92&gt;Variables!$B$18,"Self-funder",IF(AA92&gt;Variables!$B$19,"Tariff band - council contributing","Council pays standard rate"))</f>
        <v/>
      </c>
      <c r="S92" s="12">
        <f>Variables!$B$18</f>
        <v/>
      </c>
      <c r="T92" s="12">
        <f>Variables!$B$19</f>
        <v/>
      </c>
      <c r="U92">
        <f>AA92&lt;=Variables!$B$18</f>
        <v/>
      </c>
      <c r="V92">
        <f>AA92&lt;=Variables!$B$19</f>
        <v/>
      </c>
      <c r="W92">
        <f>P92&lt;=0</f>
        <v/>
      </c>
      <c r="X92" s="12">
        <f>Variables!$B$28</f>
        <v/>
      </c>
      <c r="Y92">
        <f>AB92&lt;=Variables!$B$28</f>
        <v/>
      </c>
      <c r="Z92">
        <f>AB92&lt;=Variables!$B$18</f>
        <v/>
      </c>
      <c r="AA92" s="12">
        <f>AB91</f>
        <v/>
      </c>
      <c r="AB92" s="12">
        <f>AA92+Variables!$B$9-M92</f>
        <v/>
      </c>
      <c r="AC92" s="11">
        <f>IF(MOD(A92-1,Variables!$B$30)=0,Variables!$B$30*M92,0)</f>
        <v/>
      </c>
      <c r="AD92" s="12">
        <f>IF(A92=MATCH(TRUE,$Y$2:$Y$261,0),MAX($AB$2:$AB$261),IF(A92=MATCH(TRUE,$Y$2:$Y$261,0)-1,0,NA()))</f>
        <v/>
      </c>
      <c r="AE92" s="12">
        <f>IF(A92=MATCH(TRUE,$Z$2:$Z$261,0),MAX($AB$2:$AB$261),IF(A92=MATCH(TRUE,$Z$2:$Z$261,0)-1,0,NA()))</f>
        <v/>
      </c>
    </row>
    <row r="93">
      <c r="A93" t="n">
        <v>92</v>
      </c>
      <c r="B93" s="14">
        <f>Variables!$B$24+(A93-1)*7</f>
        <v/>
      </c>
      <c r="C93" s="12">
        <f>P92</f>
        <v/>
      </c>
      <c r="D93" s="12">
        <f>Q92</f>
        <v/>
      </c>
      <c r="E93" s="12">
        <f>C93+IF(A93&gt;Variables!$B$25,D93,0)</f>
        <v/>
      </c>
      <c r="F93" s="12">
        <f>C93+D93</f>
        <v/>
      </c>
      <c r="G93" s="11">
        <f>IF(A93&gt;Variables!$B$22,Variables!$B$12,0)</f>
        <v/>
      </c>
      <c r="H93" s="11">
        <f>IF(AND(A93&gt;Variables!$B$22,Variables!$B$14="Yes"),Variables!$B$13,0)</f>
        <v/>
      </c>
      <c r="I93" s="11">
        <f>IF(AA93&gt;Variables!$B$18,0,IF(AA93&gt;Variables!$B$19,CEILING((AA93-Variables!$B$19)/Variables!$B$21,1)*Variables!$B$20,0))</f>
        <v/>
      </c>
      <c r="J93" s="11">
        <f>IF(AA93&lt;=Variables!$B$18,MIN(Variables!$B$9-Variables!$B$8+I93,Variables!$B$26),0)</f>
        <v/>
      </c>
      <c r="K93" s="11">
        <f>IF(AA93&lt;=Variables!$B$18,Variables!$B$27,0)</f>
        <v/>
      </c>
      <c r="L93" s="11">
        <f>IF(AA93&gt;Variables!$B$18,G93+H93,Variables!$B$26-J93)</f>
        <v/>
      </c>
      <c r="M93" s="11">
        <f>IF(AA93&gt;Variables!$B$18,Variables!$B$2-G93-H93,J93+K93)</f>
        <v/>
      </c>
      <c r="N93" s="11">
        <f>Variables!$B$9-AC93</f>
        <v/>
      </c>
      <c r="O93" s="12">
        <f>F93+N93</f>
        <v/>
      </c>
      <c r="P93" s="12">
        <f>MAX(0,C93+N93)</f>
        <v/>
      </c>
      <c r="Q93" s="12">
        <f>D93+MIN(0,C93+N93)</f>
        <v/>
      </c>
      <c r="R93">
        <f>IF(AA93&gt;Variables!$B$18,"Self-funder",IF(AA93&gt;Variables!$B$19,"Tariff band - council contributing","Council pays standard rate"))</f>
        <v/>
      </c>
      <c r="S93" s="12">
        <f>Variables!$B$18</f>
        <v/>
      </c>
      <c r="T93" s="12">
        <f>Variables!$B$19</f>
        <v/>
      </c>
      <c r="U93">
        <f>AA93&lt;=Variables!$B$18</f>
        <v/>
      </c>
      <c r="V93">
        <f>AA93&lt;=Variables!$B$19</f>
        <v/>
      </c>
      <c r="W93">
        <f>P93&lt;=0</f>
        <v/>
      </c>
      <c r="X93" s="12">
        <f>Variables!$B$28</f>
        <v/>
      </c>
      <c r="Y93">
        <f>AB93&lt;=Variables!$B$28</f>
        <v/>
      </c>
      <c r="Z93">
        <f>AB93&lt;=Variables!$B$18</f>
        <v/>
      </c>
      <c r="AA93" s="12">
        <f>AB92</f>
        <v/>
      </c>
      <c r="AB93" s="12">
        <f>AA93+Variables!$B$9-M93</f>
        <v/>
      </c>
      <c r="AC93" s="11">
        <f>IF(MOD(A93-1,Variables!$B$30)=0,Variables!$B$30*M93,0)</f>
        <v/>
      </c>
      <c r="AD93" s="12">
        <f>IF(A93=MATCH(TRUE,$Y$2:$Y$261,0),MAX($AB$2:$AB$261),IF(A93=MATCH(TRUE,$Y$2:$Y$261,0)-1,0,NA()))</f>
        <v/>
      </c>
      <c r="AE93" s="12">
        <f>IF(A93=MATCH(TRUE,$Z$2:$Z$261,0),MAX($AB$2:$AB$261),IF(A93=MATCH(TRUE,$Z$2:$Z$261,0)-1,0,NA()))</f>
        <v/>
      </c>
    </row>
    <row r="94">
      <c r="A94" t="n">
        <v>93</v>
      </c>
      <c r="B94" s="14">
        <f>Variables!$B$24+(A94-1)*7</f>
        <v/>
      </c>
      <c r="C94" s="12">
        <f>P93</f>
        <v/>
      </c>
      <c r="D94" s="12">
        <f>Q93</f>
        <v/>
      </c>
      <c r="E94" s="12">
        <f>C94+IF(A94&gt;Variables!$B$25,D94,0)</f>
        <v/>
      </c>
      <c r="F94" s="12">
        <f>C94+D94</f>
        <v/>
      </c>
      <c r="G94" s="11">
        <f>IF(A94&gt;Variables!$B$22,Variables!$B$12,0)</f>
        <v/>
      </c>
      <c r="H94" s="11">
        <f>IF(AND(A94&gt;Variables!$B$22,Variables!$B$14="Yes"),Variables!$B$13,0)</f>
        <v/>
      </c>
      <c r="I94" s="11">
        <f>IF(AA94&gt;Variables!$B$18,0,IF(AA94&gt;Variables!$B$19,CEILING((AA94-Variables!$B$19)/Variables!$B$21,1)*Variables!$B$20,0))</f>
        <v/>
      </c>
      <c r="J94" s="11">
        <f>IF(AA94&lt;=Variables!$B$18,MIN(Variables!$B$9-Variables!$B$8+I94,Variables!$B$26),0)</f>
        <v/>
      </c>
      <c r="K94" s="11">
        <f>IF(AA94&lt;=Variables!$B$18,Variables!$B$27,0)</f>
        <v/>
      </c>
      <c r="L94" s="11">
        <f>IF(AA94&gt;Variables!$B$18,G94+H94,Variables!$B$26-J94)</f>
        <v/>
      </c>
      <c r="M94" s="11">
        <f>IF(AA94&gt;Variables!$B$18,Variables!$B$2-G94-H94,J94+K94)</f>
        <v/>
      </c>
      <c r="N94" s="11">
        <f>Variables!$B$9-AC94</f>
        <v/>
      </c>
      <c r="O94" s="12">
        <f>F94+N94</f>
        <v/>
      </c>
      <c r="P94" s="12">
        <f>MAX(0,C94+N94)</f>
        <v/>
      </c>
      <c r="Q94" s="12">
        <f>D94+MIN(0,C94+N94)</f>
        <v/>
      </c>
      <c r="R94">
        <f>IF(AA94&gt;Variables!$B$18,"Self-funder",IF(AA94&gt;Variables!$B$19,"Tariff band - council contributing","Council pays standard rate"))</f>
        <v/>
      </c>
      <c r="S94" s="12">
        <f>Variables!$B$18</f>
        <v/>
      </c>
      <c r="T94" s="12">
        <f>Variables!$B$19</f>
        <v/>
      </c>
      <c r="U94">
        <f>AA94&lt;=Variables!$B$18</f>
        <v/>
      </c>
      <c r="V94">
        <f>AA94&lt;=Variables!$B$19</f>
        <v/>
      </c>
      <c r="W94">
        <f>P94&lt;=0</f>
        <v/>
      </c>
      <c r="X94" s="12">
        <f>Variables!$B$28</f>
        <v/>
      </c>
      <c r="Y94">
        <f>AB94&lt;=Variables!$B$28</f>
        <v/>
      </c>
      <c r="Z94">
        <f>AB94&lt;=Variables!$B$18</f>
        <v/>
      </c>
      <c r="AA94" s="12">
        <f>AB93</f>
        <v/>
      </c>
      <c r="AB94" s="12">
        <f>AA94+Variables!$B$9-M94</f>
        <v/>
      </c>
      <c r="AC94" s="11">
        <f>IF(MOD(A94-1,Variables!$B$30)=0,Variables!$B$30*M94,0)</f>
        <v/>
      </c>
      <c r="AD94" s="12">
        <f>IF(A94=MATCH(TRUE,$Y$2:$Y$261,0),MAX($AB$2:$AB$261),IF(A94=MATCH(TRUE,$Y$2:$Y$261,0)-1,0,NA()))</f>
        <v/>
      </c>
      <c r="AE94" s="12">
        <f>IF(A94=MATCH(TRUE,$Z$2:$Z$261,0),MAX($AB$2:$AB$261),IF(A94=MATCH(TRUE,$Z$2:$Z$261,0)-1,0,NA()))</f>
        <v/>
      </c>
    </row>
    <row r="95">
      <c r="A95" t="n">
        <v>94</v>
      </c>
      <c r="B95" s="14">
        <f>Variables!$B$24+(A95-1)*7</f>
        <v/>
      </c>
      <c r="C95" s="12">
        <f>P94</f>
        <v/>
      </c>
      <c r="D95" s="12">
        <f>Q94</f>
        <v/>
      </c>
      <c r="E95" s="12">
        <f>C95+IF(A95&gt;Variables!$B$25,D95,0)</f>
        <v/>
      </c>
      <c r="F95" s="12">
        <f>C95+D95</f>
        <v/>
      </c>
      <c r="G95" s="11">
        <f>IF(A95&gt;Variables!$B$22,Variables!$B$12,0)</f>
        <v/>
      </c>
      <c r="H95" s="11">
        <f>IF(AND(A95&gt;Variables!$B$22,Variables!$B$14="Yes"),Variables!$B$13,0)</f>
        <v/>
      </c>
      <c r="I95" s="11">
        <f>IF(AA95&gt;Variables!$B$18,0,IF(AA95&gt;Variables!$B$19,CEILING((AA95-Variables!$B$19)/Variables!$B$21,1)*Variables!$B$20,0))</f>
        <v/>
      </c>
      <c r="J95" s="11">
        <f>IF(AA95&lt;=Variables!$B$18,MIN(Variables!$B$9-Variables!$B$8+I95,Variables!$B$26),0)</f>
        <v/>
      </c>
      <c r="K95" s="11">
        <f>IF(AA95&lt;=Variables!$B$18,Variables!$B$27,0)</f>
        <v/>
      </c>
      <c r="L95" s="11">
        <f>IF(AA95&gt;Variables!$B$18,G95+H95,Variables!$B$26-J95)</f>
        <v/>
      </c>
      <c r="M95" s="11">
        <f>IF(AA95&gt;Variables!$B$18,Variables!$B$2-G95-H95,J95+K95)</f>
        <v/>
      </c>
      <c r="N95" s="11">
        <f>Variables!$B$9-AC95</f>
        <v/>
      </c>
      <c r="O95" s="12">
        <f>F95+N95</f>
        <v/>
      </c>
      <c r="P95" s="12">
        <f>MAX(0,C95+N95)</f>
        <v/>
      </c>
      <c r="Q95" s="12">
        <f>D95+MIN(0,C95+N95)</f>
        <v/>
      </c>
      <c r="R95">
        <f>IF(AA95&gt;Variables!$B$18,"Self-funder",IF(AA95&gt;Variables!$B$19,"Tariff band - council contributing","Council pays standard rate"))</f>
        <v/>
      </c>
      <c r="S95" s="12">
        <f>Variables!$B$18</f>
        <v/>
      </c>
      <c r="T95" s="12">
        <f>Variables!$B$19</f>
        <v/>
      </c>
      <c r="U95">
        <f>AA95&lt;=Variables!$B$18</f>
        <v/>
      </c>
      <c r="V95">
        <f>AA95&lt;=Variables!$B$19</f>
        <v/>
      </c>
      <c r="W95">
        <f>P95&lt;=0</f>
        <v/>
      </c>
      <c r="X95" s="12">
        <f>Variables!$B$28</f>
        <v/>
      </c>
      <c r="Y95">
        <f>AB95&lt;=Variables!$B$28</f>
        <v/>
      </c>
      <c r="Z95">
        <f>AB95&lt;=Variables!$B$18</f>
        <v/>
      </c>
      <c r="AA95" s="12">
        <f>AB94</f>
        <v/>
      </c>
      <c r="AB95" s="12">
        <f>AA95+Variables!$B$9-M95</f>
        <v/>
      </c>
      <c r="AC95" s="11">
        <f>IF(MOD(A95-1,Variables!$B$30)=0,Variables!$B$30*M95,0)</f>
        <v/>
      </c>
      <c r="AD95" s="12">
        <f>IF(A95=MATCH(TRUE,$Y$2:$Y$261,0),MAX($AB$2:$AB$261),IF(A95=MATCH(TRUE,$Y$2:$Y$261,0)-1,0,NA()))</f>
        <v/>
      </c>
      <c r="AE95" s="12">
        <f>IF(A95=MATCH(TRUE,$Z$2:$Z$261,0),MAX($AB$2:$AB$261),IF(A95=MATCH(TRUE,$Z$2:$Z$261,0)-1,0,NA()))</f>
        <v/>
      </c>
    </row>
    <row r="96">
      <c r="A96" t="n">
        <v>95</v>
      </c>
      <c r="B96" s="14">
        <f>Variables!$B$24+(A96-1)*7</f>
        <v/>
      </c>
      <c r="C96" s="12">
        <f>P95</f>
        <v/>
      </c>
      <c r="D96" s="12">
        <f>Q95</f>
        <v/>
      </c>
      <c r="E96" s="12">
        <f>C96+IF(A96&gt;Variables!$B$25,D96,0)</f>
        <v/>
      </c>
      <c r="F96" s="12">
        <f>C96+D96</f>
        <v/>
      </c>
      <c r="G96" s="11">
        <f>IF(A96&gt;Variables!$B$22,Variables!$B$12,0)</f>
        <v/>
      </c>
      <c r="H96" s="11">
        <f>IF(AND(A96&gt;Variables!$B$22,Variables!$B$14="Yes"),Variables!$B$13,0)</f>
        <v/>
      </c>
      <c r="I96" s="11">
        <f>IF(AA96&gt;Variables!$B$18,0,IF(AA96&gt;Variables!$B$19,CEILING((AA96-Variables!$B$19)/Variables!$B$21,1)*Variables!$B$20,0))</f>
        <v/>
      </c>
      <c r="J96" s="11">
        <f>IF(AA96&lt;=Variables!$B$18,MIN(Variables!$B$9-Variables!$B$8+I96,Variables!$B$26),0)</f>
        <v/>
      </c>
      <c r="K96" s="11">
        <f>IF(AA96&lt;=Variables!$B$18,Variables!$B$27,0)</f>
        <v/>
      </c>
      <c r="L96" s="11">
        <f>IF(AA96&gt;Variables!$B$18,G96+H96,Variables!$B$26-J96)</f>
        <v/>
      </c>
      <c r="M96" s="11">
        <f>IF(AA96&gt;Variables!$B$18,Variables!$B$2-G96-H96,J96+K96)</f>
        <v/>
      </c>
      <c r="N96" s="11">
        <f>Variables!$B$9-AC96</f>
        <v/>
      </c>
      <c r="O96" s="12">
        <f>F96+N96</f>
        <v/>
      </c>
      <c r="P96" s="12">
        <f>MAX(0,C96+N96)</f>
        <v/>
      </c>
      <c r="Q96" s="12">
        <f>D96+MIN(0,C96+N96)</f>
        <v/>
      </c>
      <c r="R96">
        <f>IF(AA96&gt;Variables!$B$18,"Self-funder",IF(AA96&gt;Variables!$B$19,"Tariff band - council contributing","Council pays standard rate"))</f>
        <v/>
      </c>
      <c r="S96" s="12">
        <f>Variables!$B$18</f>
        <v/>
      </c>
      <c r="T96" s="12">
        <f>Variables!$B$19</f>
        <v/>
      </c>
      <c r="U96">
        <f>AA96&lt;=Variables!$B$18</f>
        <v/>
      </c>
      <c r="V96">
        <f>AA96&lt;=Variables!$B$19</f>
        <v/>
      </c>
      <c r="W96">
        <f>P96&lt;=0</f>
        <v/>
      </c>
      <c r="X96" s="12">
        <f>Variables!$B$28</f>
        <v/>
      </c>
      <c r="Y96">
        <f>AB96&lt;=Variables!$B$28</f>
        <v/>
      </c>
      <c r="Z96">
        <f>AB96&lt;=Variables!$B$18</f>
        <v/>
      </c>
      <c r="AA96" s="12">
        <f>AB95</f>
        <v/>
      </c>
      <c r="AB96" s="12">
        <f>AA96+Variables!$B$9-M96</f>
        <v/>
      </c>
      <c r="AC96" s="11">
        <f>IF(MOD(A96-1,Variables!$B$30)=0,Variables!$B$30*M96,0)</f>
        <v/>
      </c>
      <c r="AD96" s="12">
        <f>IF(A96=MATCH(TRUE,$Y$2:$Y$261,0),MAX($AB$2:$AB$261),IF(A96=MATCH(TRUE,$Y$2:$Y$261,0)-1,0,NA()))</f>
        <v/>
      </c>
      <c r="AE96" s="12">
        <f>IF(A96=MATCH(TRUE,$Z$2:$Z$261,0),MAX($AB$2:$AB$261),IF(A96=MATCH(TRUE,$Z$2:$Z$261,0)-1,0,NA()))</f>
        <v/>
      </c>
    </row>
    <row r="97">
      <c r="A97" t="n">
        <v>96</v>
      </c>
      <c r="B97" s="14">
        <f>Variables!$B$24+(A97-1)*7</f>
        <v/>
      </c>
      <c r="C97" s="12">
        <f>P96</f>
        <v/>
      </c>
      <c r="D97" s="12">
        <f>Q96</f>
        <v/>
      </c>
      <c r="E97" s="12">
        <f>C97+IF(A97&gt;Variables!$B$25,D97,0)</f>
        <v/>
      </c>
      <c r="F97" s="12">
        <f>C97+D97</f>
        <v/>
      </c>
      <c r="G97" s="11">
        <f>IF(A97&gt;Variables!$B$22,Variables!$B$12,0)</f>
        <v/>
      </c>
      <c r="H97" s="11">
        <f>IF(AND(A97&gt;Variables!$B$22,Variables!$B$14="Yes"),Variables!$B$13,0)</f>
        <v/>
      </c>
      <c r="I97" s="11">
        <f>IF(AA97&gt;Variables!$B$18,0,IF(AA97&gt;Variables!$B$19,CEILING((AA97-Variables!$B$19)/Variables!$B$21,1)*Variables!$B$20,0))</f>
        <v/>
      </c>
      <c r="J97" s="11">
        <f>IF(AA97&lt;=Variables!$B$18,MIN(Variables!$B$9-Variables!$B$8+I97,Variables!$B$26),0)</f>
        <v/>
      </c>
      <c r="K97" s="11">
        <f>IF(AA97&lt;=Variables!$B$18,Variables!$B$27,0)</f>
        <v/>
      </c>
      <c r="L97" s="11">
        <f>IF(AA97&gt;Variables!$B$18,G97+H97,Variables!$B$26-J97)</f>
        <v/>
      </c>
      <c r="M97" s="11">
        <f>IF(AA97&gt;Variables!$B$18,Variables!$B$2-G97-H97,J97+K97)</f>
        <v/>
      </c>
      <c r="N97" s="11">
        <f>Variables!$B$9-AC97</f>
        <v/>
      </c>
      <c r="O97" s="12">
        <f>F97+N97</f>
        <v/>
      </c>
      <c r="P97" s="12">
        <f>MAX(0,C97+N97)</f>
        <v/>
      </c>
      <c r="Q97" s="12">
        <f>D97+MIN(0,C97+N97)</f>
        <v/>
      </c>
      <c r="R97">
        <f>IF(AA97&gt;Variables!$B$18,"Self-funder",IF(AA97&gt;Variables!$B$19,"Tariff band - council contributing","Council pays standard rate"))</f>
        <v/>
      </c>
      <c r="S97" s="12">
        <f>Variables!$B$18</f>
        <v/>
      </c>
      <c r="T97" s="12">
        <f>Variables!$B$19</f>
        <v/>
      </c>
      <c r="U97">
        <f>AA97&lt;=Variables!$B$18</f>
        <v/>
      </c>
      <c r="V97">
        <f>AA97&lt;=Variables!$B$19</f>
        <v/>
      </c>
      <c r="W97">
        <f>P97&lt;=0</f>
        <v/>
      </c>
      <c r="X97" s="12">
        <f>Variables!$B$28</f>
        <v/>
      </c>
      <c r="Y97">
        <f>AB97&lt;=Variables!$B$28</f>
        <v/>
      </c>
      <c r="Z97">
        <f>AB97&lt;=Variables!$B$18</f>
        <v/>
      </c>
      <c r="AA97" s="12">
        <f>AB96</f>
        <v/>
      </c>
      <c r="AB97" s="12">
        <f>AA97+Variables!$B$9-M97</f>
        <v/>
      </c>
      <c r="AC97" s="11">
        <f>IF(MOD(A97-1,Variables!$B$30)=0,Variables!$B$30*M97,0)</f>
        <v/>
      </c>
      <c r="AD97" s="12">
        <f>IF(A97=MATCH(TRUE,$Y$2:$Y$261,0),MAX($AB$2:$AB$261),IF(A97=MATCH(TRUE,$Y$2:$Y$261,0)-1,0,NA()))</f>
        <v/>
      </c>
      <c r="AE97" s="12">
        <f>IF(A97=MATCH(TRUE,$Z$2:$Z$261,0),MAX($AB$2:$AB$261),IF(A97=MATCH(TRUE,$Z$2:$Z$261,0)-1,0,NA()))</f>
        <v/>
      </c>
    </row>
    <row r="98">
      <c r="A98" t="n">
        <v>97</v>
      </c>
      <c r="B98" s="14">
        <f>Variables!$B$24+(A98-1)*7</f>
        <v/>
      </c>
      <c r="C98" s="12">
        <f>P97</f>
        <v/>
      </c>
      <c r="D98" s="12">
        <f>Q97</f>
        <v/>
      </c>
      <c r="E98" s="12">
        <f>C98+IF(A98&gt;Variables!$B$25,D98,0)</f>
        <v/>
      </c>
      <c r="F98" s="12">
        <f>C98+D98</f>
        <v/>
      </c>
      <c r="G98" s="11">
        <f>IF(A98&gt;Variables!$B$22,Variables!$B$12,0)</f>
        <v/>
      </c>
      <c r="H98" s="11">
        <f>IF(AND(A98&gt;Variables!$B$22,Variables!$B$14="Yes"),Variables!$B$13,0)</f>
        <v/>
      </c>
      <c r="I98" s="11">
        <f>IF(AA98&gt;Variables!$B$18,0,IF(AA98&gt;Variables!$B$19,CEILING((AA98-Variables!$B$19)/Variables!$B$21,1)*Variables!$B$20,0))</f>
        <v/>
      </c>
      <c r="J98" s="11">
        <f>IF(AA98&lt;=Variables!$B$18,MIN(Variables!$B$9-Variables!$B$8+I98,Variables!$B$26),0)</f>
        <v/>
      </c>
      <c r="K98" s="11">
        <f>IF(AA98&lt;=Variables!$B$18,Variables!$B$27,0)</f>
        <v/>
      </c>
      <c r="L98" s="11">
        <f>IF(AA98&gt;Variables!$B$18,G98+H98,Variables!$B$26-J98)</f>
        <v/>
      </c>
      <c r="M98" s="11">
        <f>IF(AA98&gt;Variables!$B$18,Variables!$B$2-G98-H98,J98+K98)</f>
        <v/>
      </c>
      <c r="N98" s="11">
        <f>Variables!$B$9-AC98</f>
        <v/>
      </c>
      <c r="O98" s="12">
        <f>F98+N98</f>
        <v/>
      </c>
      <c r="P98" s="12">
        <f>MAX(0,C98+N98)</f>
        <v/>
      </c>
      <c r="Q98" s="12">
        <f>D98+MIN(0,C98+N98)</f>
        <v/>
      </c>
      <c r="R98">
        <f>IF(AA98&gt;Variables!$B$18,"Self-funder",IF(AA98&gt;Variables!$B$19,"Tariff band - council contributing","Council pays standard rate"))</f>
        <v/>
      </c>
      <c r="S98" s="12">
        <f>Variables!$B$18</f>
        <v/>
      </c>
      <c r="T98" s="12">
        <f>Variables!$B$19</f>
        <v/>
      </c>
      <c r="U98">
        <f>AA98&lt;=Variables!$B$18</f>
        <v/>
      </c>
      <c r="V98">
        <f>AA98&lt;=Variables!$B$19</f>
        <v/>
      </c>
      <c r="W98">
        <f>P98&lt;=0</f>
        <v/>
      </c>
      <c r="X98" s="12">
        <f>Variables!$B$28</f>
        <v/>
      </c>
      <c r="Y98">
        <f>AB98&lt;=Variables!$B$28</f>
        <v/>
      </c>
      <c r="Z98">
        <f>AB98&lt;=Variables!$B$18</f>
        <v/>
      </c>
      <c r="AA98" s="12">
        <f>AB97</f>
        <v/>
      </c>
      <c r="AB98" s="12">
        <f>AA98+Variables!$B$9-M98</f>
        <v/>
      </c>
      <c r="AC98" s="11">
        <f>IF(MOD(A98-1,Variables!$B$30)=0,Variables!$B$30*M98,0)</f>
        <v/>
      </c>
      <c r="AD98" s="12">
        <f>IF(A98=MATCH(TRUE,$Y$2:$Y$261,0),MAX($AB$2:$AB$261),IF(A98=MATCH(TRUE,$Y$2:$Y$261,0)-1,0,NA()))</f>
        <v/>
      </c>
      <c r="AE98" s="12">
        <f>IF(A98=MATCH(TRUE,$Z$2:$Z$261,0),MAX($AB$2:$AB$261),IF(A98=MATCH(TRUE,$Z$2:$Z$261,0)-1,0,NA()))</f>
        <v/>
      </c>
    </row>
    <row r="99">
      <c r="A99" t="n">
        <v>98</v>
      </c>
      <c r="B99" s="14">
        <f>Variables!$B$24+(A99-1)*7</f>
        <v/>
      </c>
      <c r="C99" s="12">
        <f>P98</f>
        <v/>
      </c>
      <c r="D99" s="12">
        <f>Q98</f>
        <v/>
      </c>
      <c r="E99" s="12">
        <f>C99+IF(A99&gt;Variables!$B$25,D99,0)</f>
        <v/>
      </c>
      <c r="F99" s="12">
        <f>C99+D99</f>
        <v/>
      </c>
      <c r="G99" s="11">
        <f>IF(A99&gt;Variables!$B$22,Variables!$B$12,0)</f>
        <v/>
      </c>
      <c r="H99" s="11">
        <f>IF(AND(A99&gt;Variables!$B$22,Variables!$B$14="Yes"),Variables!$B$13,0)</f>
        <v/>
      </c>
      <c r="I99" s="11">
        <f>IF(AA99&gt;Variables!$B$18,0,IF(AA99&gt;Variables!$B$19,CEILING((AA99-Variables!$B$19)/Variables!$B$21,1)*Variables!$B$20,0))</f>
        <v/>
      </c>
      <c r="J99" s="11">
        <f>IF(AA99&lt;=Variables!$B$18,MIN(Variables!$B$9-Variables!$B$8+I99,Variables!$B$26),0)</f>
        <v/>
      </c>
      <c r="K99" s="11">
        <f>IF(AA99&lt;=Variables!$B$18,Variables!$B$27,0)</f>
        <v/>
      </c>
      <c r="L99" s="11">
        <f>IF(AA99&gt;Variables!$B$18,G99+H99,Variables!$B$26-J99)</f>
        <v/>
      </c>
      <c r="M99" s="11">
        <f>IF(AA99&gt;Variables!$B$18,Variables!$B$2-G99-H99,J99+K99)</f>
        <v/>
      </c>
      <c r="N99" s="11">
        <f>Variables!$B$9-AC99</f>
        <v/>
      </c>
      <c r="O99" s="12">
        <f>F99+N99</f>
        <v/>
      </c>
      <c r="P99" s="12">
        <f>MAX(0,C99+N99)</f>
        <v/>
      </c>
      <c r="Q99" s="12">
        <f>D99+MIN(0,C99+N99)</f>
        <v/>
      </c>
      <c r="R99">
        <f>IF(AA99&gt;Variables!$B$18,"Self-funder",IF(AA99&gt;Variables!$B$19,"Tariff band - council contributing","Council pays standard rate"))</f>
        <v/>
      </c>
      <c r="S99" s="12">
        <f>Variables!$B$18</f>
        <v/>
      </c>
      <c r="T99" s="12">
        <f>Variables!$B$19</f>
        <v/>
      </c>
      <c r="U99">
        <f>AA99&lt;=Variables!$B$18</f>
        <v/>
      </c>
      <c r="V99">
        <f>AA99&lt;=Variables!$B$19</f>
        <v/>
      </c>
      <c r="W99">
        <f>P99&lt;=0</f>
        <v/>
      </c>
      <c r="X99" s="12">
        <f>Variables!$B$28</f>
        <v/>
      </c>
      <c r="Y99">
        <f>AB99&lt;=Variables!$B$28</f>
        <v/>
      </c>
      <c r="Z99">
        <f>AB99&lt;=Variables!$B$18</f>
        <v/>
      </c>
      <c r="AA99" s="12">
        <f>AB98</f>
        <v/>
      </c>
      <c r="AB99" s="12">
        <f>AA99+Variables!$B$9-M99</f>
        <v/>
      </c>
      <c r="AC99" s="11">
        <f>IF(MOD(A99-1,Variables!$B$30)=0,Variables!$B$30*M99,0)</f>
        <v/>
      </c>
      <c r="AD99" s="12">
        <f>IF(A99=MATCH(TRUE,$Y$2:$Y$261,0),MAX($AB$2:$AB$261),IF(A99=MATCH(TRUE,$Y$2:$Y$261,0)-1,0,NA()))</f>
        <v/>
      </c>
      <c r="AE99" s="12">
        <f>IF(A99=MATCH(TRUE,$Z$2:$Z$261,0),MAX($AB$2:$AB$261),IF(A99=MATCH(TRUE,$Z$2:$Z$261,0)-1,0,NA()))</f>
        <v/>
      </c>
    </row>
    <row r="100">
      <c r="A100" t="n">
        <v>99</v>
      </c>
      <c r="B100" s="14">
        <f>Variables!$B$24+(A100-1)*7</f>
        <v/>
      </c>
      <c r="C100" s="12">
        <f>P99</f>
        <v/>
      </c>
      <c r="D100" s="12">
        <f>Q99</f>
        <v/>
      </c>
      <c r="E100" s="12">
        <f>C100+IF(A100&gt;Variables!$B$25,D100,0)</f>
        <v/>
      </c>
      <c r="F100" s="12">
        <f>C100+D100</f>
        <v/>
      </c>
      <c r="G100" s="11">
        <f>IF(A100&gt;Variables!$B$22,Variables!$B$12,0)</f>
        <v/>
      </c>
      <c r="H100" s="11">
        <f>IF(AND(A100&gt;Variables!$B$22,Variables!$B$14="Yes"),Variables!$B$13,0)</f>
        <v/>
      </c>
      <c r="I100" s="11">
        <f>IF(AA100&gt;Variables!$B$18,0,IF(AA100&gt;Variables!$B$19,CEILING((AA100-Variables!$B$19)/Variables!$B$21,1)*Variables!$B$20,0))</f>
        <v/>
      </c>
      <c r="J100" s="11">
        <f>IF(AA100&lt;=Variables!$B$18,MIN(Variables!$B$9-Variables!$B$8+I100,Variables!$B$26),0)</f>
        <v/>
      </c>
      <c r="K100" s="11">
        <f>IF(AA100&lt;=Variables!$B$18,Variables!$B$27,0)</f>
        <v/>
      </c>
      <c r="L100" s="11">
        <f>IF(AA100&gt;Variables!$B$18,G100+H100,Variables!$B$26-J100)</f>
        <v/>
      </c>
      <c r="M100" s="11">
        <f>IF(AA100&gt;Variables!$B$18,Variables!$B$2-G100-H100,J100+K100)</f>
        <v/>
      </c>
      <c r="N100" s="11">
        <f>Variables!$B$9-AC100</f>
        <v/>
      </c>
      <c r="O100" s="12">
        <f>F100+N100</f>
        <v/>
      </c>
      <c r="P100" s="12">
        <f>MAX(0,C100+N100)</f>
        <v/>
      </c>
      <c r="Q100" s="12">
        <f>D100+MIN(0,C100+N100)</f>
        <v/>
      </c>
      <c r="R100">
        <f>IF(AA100&gt;Variables!$B$18,"Self-funder",IF(AA100&gt;Variables!$B$19,"Tariff band - council contributing","Council pays standard rate"))</f>
        <v/>
      </c>
      <c r="S100" s="12">
        <f>Variables!$B$18</f>
        <v/>
      </c>
      <c r="T100" s="12">
        <f>Variables!$B$19</f>
        <v/>
      </c>
      <c r="U100">
        <f>AA100&lt;=Variables!$B$18</f>
        <v/>
      </c>
      <c r="V100">
        <f>AA100&lt;=Variables!$B$19</f>
        <v/>
      </c>
      <c r="W100">
        <f>P100&lt;=0</f>
        <v/>
      </c>
      <c r="X100" s="12">
        <f>Variables!$B$28</f>
        <v/>
      </c>
      <c r="Y100">
        <f>AB100&lt;=Variables!$B$28</f>
        <v/>
      </c>
      <c r="Z100">
        <f>AB100&lt;=Variables!$B$18</f>
        <v/>
      </c>
      <c r="AA100" s="12">
        <f>AB99</f>
        <v/>
      </c>
      <c r="AB100" s="12">
        <f>AA100+Variables!$B$9-M100</f>
        <v/>
      </c>
      <c r="AC100" s="11">
        <f>IF(MOD(A100-1,Variables!$B$30)=0,Variables!$B$30*M100,0)</f>
        <v/>
      </c>
      <c r="AD100" s="12">
        <f>IF(A100=MATCH(TRUE,$Y$2:$Y$261,0),MAX($AB$2:$AB$261),IF(A100=MATCH(TRUE,$Y$2:$Y$261,0)-1,0,NA()))</f>
        <v/>
      </c>
      <c r="AE100" s="12">
        <f>IF(A100=MATCH(TRUE,$Z$2:$Z$261,0),MAX($AB$2:$AB$261),IF(A100=MATCH(TRUE,$Z$2:$Z$261,0)-1,0,NA()))</f>
        <v/>
      </c>
    </row>
    <row r="101">
      <c r="A101" t="n">
        <v>100</v>
      </c>
      <c r="B101" s="14">
        <f>Variables!$B$24+(A101-1)*7</f>
        <v/>
      </c>
      <c r="C101" s="12">
        <f>P100</f>
        <v/>
      </c>
      <c r="D101" s="12">
        <f>Q100</f>
        <v/>
      </c>
      <c r="E101" s="12">
        <f>C101+IF(A101&gt;Variables!$B$25,D101,0)</f>
        <v/>
      </c>
      <c r="F101" s="12">
        <f>C101+D101</f>
        <v/>
      </c>
      <c r="G101" s="11">
        <f>IF(A101&gt;Variables!$B$22,Variables!$B$12,0)</f>
        <v/>
      </c>
      <c r="H101" s="11">
        <f>IF(AND(A101&gt;Variables!$B$22,Variables!$B$14="Yes"),Variables!$B$13,0)</f>
        <v/>
      </c>
      <c r="I101" s="11">
        <f>IF(AA101&gt;Variables!$B$18,0,IF(AA101&gt;Variables!$B$19,CEILING((AA101-Variables!$B$19)/Variables!$B$21,1)*Variables!$B$20,0))</f>
        <v/>
      </c>
      <c r="J101" s="11">
        <f>IF(AA101&lt;=Variables!$B$18,MIN(Variables!$B$9-Variables!$B$8+I101,Variables!$B$26),0)</f>
        <v/>
      </c>
      <c r="K101" s="11">
        <f>IF(AA101&lt;=Variables!$B$18,Variables!$B$27,0)</f>
        <v/>
      </c>
      <c r="L101" s="11">
        <f>IF(AA101&gt;Variables!$B$18,G101+H101,Variables!$B$26-J101)</f>
        <v/>
      </c>
      <c r="M101" s="11">
        <f>IF(AA101&gt;Variables!$B$18,Variables!$B$2-G101-H101,J101+K101)</f>
        <v/>
      </c>
      <c r="N101" s="11">
        <f>Variables!$B$9-AC101</f>
        <v/>
      </c>
      <c r="O101" s="12">
        <f>F101+N101</f>
        <v/>
      </c>
      <c r="P101" s="12">
        <f>MAX(0,C101+N101)</f>
        <v/>
      </c>
      <c r="Q101" s="12">
        <f>D101+MIN(0,C101+N101)</f>
        <v/>
      </c>
      <c r="R101">
        <f>IF(AA101&gt;Variables!$B$18,"Self-funder",IF(AA101&gt;Variables!$B$19,"Tariff band - council contributing","Council pays standard rate"))</f>
        <v/>
      </c>
      <c r="S101" s="12">
        <f>Variables!$B$18</f>
        <v/>
      </c>
      <c r="T101" s="12">
        <f>Variables!$B$19</f>
        <v/>
      </c>
      <c r="U101">
        <f>AA101&lt;=Variables!$B$18</f>
        <v/>
      </c>
      <c r="V101">
        <f>AA101&lt;=Variables!$B$19</f>
        <v/>
      </c>
      <c r="W101">
        <f>P101&lt;=0</f>
        <v/>
      </c>
      <c r="X101" s="12">
        <f>Variables!$B$28</f>
        <v/>
      </c>
      <c r="Y101">
        <f>AB101&lt;=Variables!$B$28</f>
        <v/>
      </c>
      <c r="Z101">
        <f>AB101&lt;=Variables!$B$18</f>
        <v/>
      </c>
      <c r="AA101" s="12">
        <f>AB100</f>
        <v/>
      </c>
      <c r="AB101" s="12">
        <f>AA101+Variables!$B$9-M101</f>
        <v/>
      </c>
      <c r="AC101" s="11">
        <f>IF(MOD(A101-1,Variables!$B$30)=0,Variables!$B$30*M101,0)</f>
        <v/>
      </c>
      <c r="AD101" s="12">
        <f>IF(A101=MATCH(TRUE,$Y$2:$Y$261,0),MAX($AB$2:$AB$261),IF(A101=MATCH(TRUE,$Y$2:$Y$261,0)-1,0,NA()))</f>
        <v/>
      </c>
      <c r="AE101" s="12">
        <f>IF(A101=MATCH(TRUE,$Z$2:$Z$261,0),MAX($AB$2:$AB$261),IF(A101=MATCH(TRUE,$Z$2:$Z$261,0)-1,0,NA()))</f>
        <v/>
      </c>
    </row>
    <row r="102">
      <c r="A102" t="n">
        <v>101</v>
      </c>
      <c r="B102" s="14">
        <f>Variables!$B$24+(A102-1)*7</f>
        <v/>
      </c>
      <c r="C102" s="12">
        <f>P101</f>
        <v/>
      </c>
      <c r="D102" s="12">
        <f>Q101</f>
        <v/>
      </c>
      <c r="E102" s="12">
        <f>C102+IF(A102&gt;Variables!$B$25,D102,0)</f>
        <v/>
      </c>
      <c r="F102" s="12">
        <f>C102+D102</f>
        <v/>
      </c>
      <c r="G102" s="11">
        <f>IF(A102&gt;Variables!$B$22,Variables!$B$12,0)</f>
        <v/>
      </c>
      <c r="H102" s="11">
        <f>IF(AND(A102&gt;Variables!$B$22,Variables!$B$14="Yes"),Variables!$B$13,0)</f>
        <v/>
      </c>
      <c r="I102" s="11">
        <f>IF(AA102&gt;Variables!$B$18,0,IF(AA102&gt;Variables!$B$19,CEILING((AA102-Variables!$B$19)/Variables!$B$21,1)*Variables!$B$20,0))</f>
        <v/>
      </c>
      <c r="J102" s="11">
        <f>IF(AA102&lt;=Variables!$B$18,MIN(Variables!$B$9-Variables!$B$8+I102,Variables!$B$26),0)</f>
        <v/>
      </c>
      <c r="K102" s="11">
        <f>IF(AA102&lt;=Variables!$B$18,Variables!$B$27,0)</f>
        <v/>
      </c>
      <c r="L102" s="11">
        <f>IF(AA102&gt;Variables!$B$18,G102+H102,Variables!$B$26-J102)</f>
        <v/>
      </c>
      <c r="M102" s="11">
        <f>IF(AA102&gt;Variables!$B$18,Variables!$B$2-G102-H102,J102+K102)</f>
        <v/>
      </c>
      <c r="N102" s="11">
        <f>Variables!$B$9-AC102</f>
        <v/>
      </c>
      <c r="O102" s="12">
        <f>F102+N102</f>
        <v/>
      </c>
      <c r="P102" s="12">
        <f>MAX(0,C102+N102)</f>
        <v/>
      </c>
      <c r="Q102" s="12">
        <f>D102+MIN(0,C102+N102)</f>
        <v/>
      </c>
      <c r="R102">
        <f>IF(AA102&gt;Variables!$B$18,"Self-funder",IF(AA102&gt;Variables!$B$19,"Tariff band - council contributing","Council pays standard rate"))</f>
        <v/>
      </c>
      <c r="S102" s="12">
        <f>Variables!$B$18</f>
        <v/>
      </c>
      <c r="T102" s="12">
        <f>Variables!$B$19</f>
        <v/>
      </c>
      <c r="U102">
        <f>AA102&lt;=Variables!$B$18</f>
        <v/>
      </c>
      <c r="V102">
        <f>AA102&lt;=Variables!$B$19</f>
        <v/>
      </c>
      <c r="W102">
        <f>P102&lt;=0</f>
        <v/>
      </c>
      <c r="X102" s="12">
        <f>Variables!$B$28</f>
        <v/>
      </c>
      <c r="Y102">
        <f>AB102&lt;=Variables!$B$28</f>
        <v/>
      </c>
      <c r="Z102">
        <f>AB102&lt;=Variables!$B$18</f>
        <v/>
      </c>
      <c r="AA102" s="12">
        <f>AB101</f>
        <v/>
      </c>
      <c r="AB102" s="12">
        <f>AA102+Variables!$B$9-M102</f>
        <v/>
      </c>
      <c r="AC102" s="11">
        <f>IF(MOD(A102-1,Variables!$B$30)=0,Variables!$B$30*M102,0)</f>
        <v/>
      </c>
      <c r="AD102" s="12">
        <f>IF(A102=MATCH(TRUE,$Y$2:$Y$261,0),MAX($AB$2:$AB$261),IF(A102=MATCH(TRUE,$Y$2:$Y$261,0)-1,0,NA()))</f>
        <v/>
      </c>
      <c r="AE102" s="12">
        <f>IF(A102=MATCH(TRUE,$Z$2:$Z$261,0),MAX($AB$2:$AB$261),IF(A102=MATCH(TRUE,$Z$2:$Z$261,0)-1,0,NA()))</f>
        <v/>
      </c>
    </row>
    <row r="103">
      <c r="A103" t="n">
        <v>102</v>
      </c>
      <c r="B103" s="14">
        <f>Variables!$B$24+(A103-1)*7</f>
        <v/>
      </c>
      <c r="C103" s="12">
        <f>P102</f>
        <v/>
      </c>
      <c r="D103" s="12">
        <f>Q102</f>
        <v/>
      </c>
      <c r="E103" s="12">
        <f>C103+IF(A103&gt;Variables!$B$25,D103,0)</f>
        <v/>
      </c>
      <c r="F103" s="12">
        <f>C103+D103</f>
        <v/>
      </c>
      <c r="G103" s="11">
        <f>IF(A103&gt;Variables!$B$22,Variables!$B$12,0)</f>
        <v/>
      </c>
      <c r="H103" s="11">
        <f>IF(AND(A103&gt;Variables!$B$22,Variables!$B$14="Yes"),Variables!$B$13,0)</f>
        <v/>
      </c>
      <c r="I103" s="11">
        <f>IF(AA103&gt;Variables!$B$18,0,IF(AA103&gt;Variables!$B$19,CEILING((AA103-Variables!$B$19)/Variables!$B$21,1)*Variables!$B$20,0))</f>
        <v/>
      </c>
      <c r="J103" s="11">
        <f>IF(AA103&lt;=Variables!$B$18,MIN(Variables!$B$9-Variables!$B$8+I103,Variables!$B$26),0)</f>
        <v/>
      </c>
      <c r="K103" s="11">
        <f>IF(AA103&lt;=Variables!$B$18,Variables!$B$27,0)</f>
        <v/>
      </c>
      <c r="L103" s="11">
        <f>IF(AA103&gt;Variables!$B$18,G103+H103,Variables!$B$26-J103)</f>
        <v/>
      </c>
      <c r="M103" s="11">
        <f>IF(AA103&gt;Variables!$B$18,Variables!$B$2-G103-H103,J103+K103)</f>
        <v/>
      </c>
      <c r="N103" s="11">
        <f>Variables!$B$9-AC103</f>
        <v/>
      </c>
      <c r="O103" s="12">
        <f>F103+N103</f>
        <v/>
      </c>
      <c r="P103" s="12">
        <f>MAX(0,C103+N103)</f>
        <v/>
      </c>
      <c r="Q103" s="12">
        <f>D103+MIN(0,C103+N103)</f>
        <v/>
      </c>
      <c r="R103">
        <f>IF(AA103&gt;Variables!$B$18,"Self-funder",IF(AA103&gt;Variables!$B$19,"Tariff band - council contributing","Council pays standard rate"))</f>
        <v/>
      </c>
      <c r="S103" s="12">
        <f>Variables!$B$18</f>
        <v/>
      </c>
      <c r="T103" s="12">
        <f>Variables!$B$19</f>
        <v/>
      </c>
      <c r="U103">
        <f>AA103&lt;=Variables!$B$18</f>
        <v/>
      </c>
      <c r="V103">
        <f>AA103&lt;=Variables!$B$19</f>
        <v/>
      </c>
      <c r="W103">
        <f>P103&lt;=0</f>
        <v/>
      </c>
      <c r="X103" s="12">
        <f>Variables!$B$28</f>
        <v/>
      </c>
      <c r="Y103">
        <f>AB103&lt;=Variables!$B$28</f>
        <v/>
      </c>
      <c r="Z103">
        <f>AB103&lt;=Variables!$B$18</f>
        <v/>
      </c>
      <c r="AA103" s="12">
        <f>AB102</f>
        <v/>
      </c>
      <c r="AB103" s="12">
        <f>AA103+Variables!$B$9-M103</f>
        <v/>
      </c>
      <c r="AC103" s="11">
        <f>IF(MOD(A103-1,Variables!$B$30)=0,Variables!$B$30*M103,0)</f>
        <v/>
      </c>
      <c r="AD103" s="12">
        <f>IF(A103=MATCH(TRUE,$Y$2:$Y$261,0),MAX($AB$2:$AB$261),IF(A103=MATCH(TRUE,$Y$2:$Y$261,0)-1,0,NA()))</f>
        <v/>
      </c>
      <c r="AE103" s="12">
        <f>IF(A103=MATCH(TRUE,$Z$2:$Z$261,0),MAX($AB$2:$AB$261),IF(A103=MATCH(TRUE,$Z$2:$Z$261,0)-1,0,NA()))</f>
        <v/>
      </c>
    </row>
    <row r="104">
      <c r="A104" t="n">
        <v>103</v>
      </c>
      <c r="B104" s="14">
        <f>Variables!$B$24+(A104-1)*7</f>
        <v/>
      </c>
      <c r="C104" s="12">
        <f>P103</f>
        <v/>
      </c>
      <c r="D104" s="12">
        <f>Q103</f>
        <v/>
      </c>
      <c r="E104" s="12">
        <f>C104+IF(A104&gt;Variables!$B$25,D104,0)</f>
        <v/>
      </c>
      <c r="F104" s="12">
        <f>C104+D104</f>
        <v/>
      </c>
      <c r="G104" s="11">
        <f>IF(A104&gt;Variables!$B$22,Variables!$B$12,0)</f>
        <v/>
      </c>
      <c r="H104" s="11">
        <f>IF(AND(A104&gt;Variables!$B$22,Variables!$B$14="Yes"),Variables!$B$13,0)</f>
        <v/>
      </c>
      <c r="I104" s="11">
        <f>IF(AA104&gt;Variables!$B$18,0,IF(AA104&gt;Variables!$B$19,CEILING((AA104-Variables!$B$19)/Variables!$B$21,1)*Variables!$B$20,0))</f>
        <v/>
      </c>
      <c r="J104" s="11">
        <f>IF(AA104&lt;=Variables!$B$18,MIN(Variables!$B$9-Variables!$B$8+I104,Variables!$B$26),0)</f>
        <v/>
      </c>
      <c r="K104" s="11">
        <f>IF(AA104&lt;=Variables!$B$18,Variables!$B$27,0)</f>
        <v/>
      </c>
      <c r="L104" s="11">
        <f>IF(AA104&gt;Variables!$B$18,G104+H104,Variables!$B$26-J104)</f>
        <v/>
      </c>
      <c r="M104" s="11">
        <f>IF(AA104&gt;Variables!$B$18,Variables!$B$2-G104-H104,J104+K104)</f>
        <v/>
      </c>
      <c r="N104" s="11">
        <f>Variables!$B$9-AC104</f>
        <v/>
      </c>
      <c r="O104" s="12">
        <f>F104+N104</f>
        <v/>
      </c>
      <c r="P104" s="12">
        <f>MAX(0,C104+N104)</f>
        <v/>
      </c>
      <c r="Q104" s="12">
        <f>D104+MIN(0,C104+N104)</f>
        <v/>
      </c>
      <c r="R104">
        <f>IF(AA104&gt;Variables!$B$18,"Self-funder",IF(AA104&gt;Variables!$B$19,"Tariff band - council contributing","Council pays standard rate"))</f>
        <v/>
      </c>
      <c r="S104" s="12">
        <f>Variables!$B$18</f>
        <v/>
      </c>
      <c r="T104" s="12">
        <f>Variables!$B$19</f>
        <v/>
      </c>
      <c r="U104">
        <f>AA104&lt;=Variables!$B$18</f>
        <v/>
      </c>
      <c r="V104">
        <f>AA104&lt;=Variables!$B$19</f>
        <v/>
      </c>
      <c r="W104">
        <f>P104&lt;=0</f>
        <v/>
      </c>
      <c r="X104" s="12">
        <f>Variables!$B$28</f>
        <v/>
      </c>
      <c r="Y104">
        <f>AB104&lt;=Variables!$B$28</f>
        <v/>
      </c>
      <c r="Z104">
        <f>AB104&lt;=Variables!$B$18</f>
        <v/>
      </c>
      <c r="AA104" s="12">
        <f>AB103</f>
        <v/>
      </c>
      <c r="AB104" s="12">
        <f>AA104+Variables!$B$9-M104</f>
        <v/>
      </c>
      <c r="AC104" s="11">
        <f>IF(MOD(A104-1,Variables!$B$30)=0,Variables!$B$30*M104,0)</f>
        <v/>
      </c>
      <c r="AD104" s="12">
        <f>IF(A104=MATCH(TRUE,$Y$2:$Y$261,0),MAX($AB$2:$AB$261),IF(A104=MATCH(TRUE,$Y$2:$Y$261,0)-1,0,NA()))</f>
        <v/>
      </c>
      <c r="AE104" s="12">
        <f>IF(A104=MATCH(TRUE,$Z$2:$Z$261,0),MAX($AB$2:$AB$261),IF(A104=MATCH(TRUE,$Z$2:$Z$261,0)-1,0,NA()))</f>
        <v/>
      </c>
    </row>
    <row r="105">
      <c r="A105" t="n">
        <v>104</v>
      </c>
      <c r="B105" s="14">
        <f>Variables!$B$24+(A105-1)*7</f>
        <v/>
      </c>
      <c r="C105" s="12">
        <f>P104</f>
        <v/>
      </c>
      <c r="D105" s="12">
        <f>Q104</f>
        <v/>
      </c>
      <c r="E105" s="12">
        <f>C105+IF(A105&gt;Variables!$B$25,D105,0)</f>
        <v/>
      </c>
      <c r="F105" s="12">
        <f>C105+D105</f>
        <v/>
      </c>
      <c r="G105" s="11">
        <f>IF(A105&gt;Variables!$B$22,Variables!$B$12,0)</f>
        <v/>
      </c>
      <c r="H105" s="11">
        <f>IF(AND(A105&gt;Variables!$B$22,Variables!$B$14="Yes"),Variables!$B$13,0)</f>
        <v/>
      </c>
      <c r="I105" s="11">
        <f>IF(AA105&gt;Variables!$B$18,0,IF(AA105&gt;Variables!$B$19,CEILING((AA105-Variables!$B$19)/Variables!$B$21,1)*Variables!$B$20,0))</f>
        <v/>
      </c>
      <c r="J105" s="11">
        <f>IF(AA105&lt;=Variables!$B$18,MIN(Variables!$B$9-Variables!$B$8+I105,Variables!$B$26),0)</f>
        <v/>
      </c>
      <c r="K105" s="11">
        <f>IF(AA105&lt;=Variables!$B$18,Variables!$B$27,0)</f>
        <v/>
      </c>
      <c r="L105" s="11">
        <f>IF(AA105&gt;Variables!$B$18,G105+H105,Variables!$B$26-J105)</f>
        <v/>
      </c>
      <c r="M105" s="11">
        <f>IF(AA105&gt;Variables!$B$18,Variables!$B$2-G105-H105,J105+K105)</f>
        <v/>
      </c>
      <c r="N105" s="11">
        <f>Variables!$B$9-AC105</f>
        <v/>
      </c>
      <c r="O105" s="12">
        <f>F105+N105</f>
        <v/>
      </c>
      <c r="P105" s="12">
        <f>MAX(0,C105+N105)</f>
        <v/>
      </c>
      <c r="Q105" s="12">
        <f>D105+MIN(0,C105+N105)</f>
        <v/>
      </c>
      <c r="R105">
        <f>IF(AA105&gt;Variables!$B$18,"Self-funder",IF(AA105&gt;Variables!$B$19,"Tariff band - council contributing","Council pays standard rate"))</f>
        <v/>
      </c>
      <c r="S105" s="12">
        <f>Variables!$B$18</f>
        <v/>
      </c>
      <c r="T105" s="12">
        <f>Variables!$B$19</f>
        <v/>
      </c>
      <c r="U105">
        <f>AA105&lt;=Variables!$B$18</f>
        <v/>
      </c>
      <c r="V105">
        <f>AA105&lt;=Variables!$B$19</f>
        <v/>
      </c>
      <c r="W105">
        <f>P105&lt;=0</f>
        <v/>
      </c>
      <c r="X105" s="12">
        <f>Variables!$B$28</f>
        <v/>
      </c>
      <c r="Y105">
        <f>AB105&lt;=Variables!$B$28</f>
        <v/>
      </c>
      <c r="Z105">
        <f>AB105&lt;=Variables!$B$18</f>
        <v/>
      </c>
      <c r="AA105" s="12">
        <f>AB104</f>
        <v/>
      </c>
      <c r="AB105" s="12">
        <f>AA105+Variables!$B$9-M105</f>
        <v/>
      </c>
      <c r="AC105" s="11">
        <f>IF(MOD(A105-1,Variables!$B$30)=0,Variables!$B$30*M105,0)</f>
        <v/>
      </c>
      <c r="AD105" s="12">
        <f>IF(A105=MATCH(TRUE,$Y$2:$Y$261,0),MAX($AB$2:$AB$261),IF(A105=MATCH(TRUE,$Y$2:$Y$261,0)-1,0,NA()))</f>
        <v/>
      </c>
      <c r="AE105" s="12">
        <f>IF(A105=MATCH(TRUE,$Z$2:$Z$261,0),MAX($AB$2:$AB$261),IF(A105=MATCH(TRUE,$Z$2:$Z$261,0)-1,0,NA()))</f>
        <v/>
      </c>
    </row>
    <row r="106">
      <c r="A106" t="n">
        <v>105</v>
      </c>
      <c r="B106" s="14">
        <f>Variables!$B$24+(A106-1)*7</f>
        <v/>
      </c>
      <c r="C106" s="12">
        <f>P105</f>
        <v/>
      </c>
      <c r="D106" s="12">
        <f>Q105</f>
        <v/>
      </c>
      <c r="E106" s="12">
        <f>C106+IF(A106&gt;Variables!$B$25,D106,0)</f>
        <v/>
      </c>
      <c r="F106" s="12">
        <f>C106+D106</f>
        <v/>
      </c>
      <c r="G106" s="11">
        <f>IF(A106&gt;Variables!$B$22,Variables!$B$12,0)</f>
        <v/>
      </c>
      <c r="H106" s="11">
        <f>IF(AND(A106&gt;Variables!$B$22,Variables!$B$14="Yes"),Variables!$B$13,0)</f>
        <v/>
      </c>
      <c r="I106" s="11">
        <f>IF(AA106&gt;Variables!$B$18,0,IF(AA106&gt;Variables!$B$19,CEILING((AA106-Variables!$B$19)/Variables!$B$21,1)*Variables!$B$20,0))</f>
        <v/>
      </c>
      <c r="J106" s="11">
        <f>IF(AA106&lt;=Variables!$B$18,MIN(Variables!$B$9-Variables!$B$8+I106,Variables!$B$26),0)</f>
        <v/>
      </c>
      <c r="K106" s="11">
        <f>IF(AA106&lt;=Variables!$B$18,Variables!$B$27,0)</f>
        <v/>
      </c>
      <c r="L106" s="11">
        <f>IF(AA106&gt;Variables!$B$18,G106+H106,Variables!$B$26-J106)</f>
        <v/>
      </c>
      <c r="M106" s="11">
        <f>IF(AA106&gt;Variables!$B$18,Variables!$B$2-G106-H106,J106+K106)</f>
        <v/>
      </c>
      <c r="N106" s="11">
        <f>Variables!$B$9-AC106</f>
        <v/>
      </c>
      <c r="O106" s="12">
        <f>F106+N106</f>
        <v/>
      </c>
      <c r="P106" s="12">
        <f>MAX(0,C106+N106)</f>
        <v/>
      </c>
      <c r="Q106" s="12">
        <f>D106+MIN(0,C106+N106)</f>
        <v/>
      </c>
      <c r="R106">
        <f>IF(AA106&gt;Variables!$B$18,"Self-funder",IF(AA106&gt;Variables!$B$19,"Tariff band - council contributing","Council pays standard rate"))</f>
        <v/>
      </c>
      <c r="S106" s="12">
        <f>Variables!$B$18</f>
        <v/>
      </c>
      <c r="T106" s="12">
        <f>Variables!$B$19</f>
        <v/>
      </c>
      <c r="U106">
        <f>AA106&lt;=Variables!$B$18</f>
        <v/>
      </c>
      <c r="V106">
        <f>AA106&lt;=Variables!$B$19</f>
        <v/>
      </c>
      <c r="W106">
        <f>P106&lt;=0</f>
        <v/>
      </c>
      <c r="X106" s="12">
        <f>Variables!$B$28</f>
        <v/>
      </c>
      <c r="Y106">
        <f>AB106&lt;=Variables!$B$28</f>
        <v/>
      </c>
      <c r="Z106">
        <f>AB106&lt;=Variables!$B$18</f>
        <v/>
      </c>
      <c r="AA106" s="12">
        <f>AB105</f>
        <v/>
      </c>
      <c r="AB106" s="12">
        <f>AA106+Variables!$B$9-M106</f>
        <v/>
      </c>
      <c r="AC106" s="11">
        <f>IF(MOD(A106-1,Variables!$B$30)=0,Variables!$B$30*M106,0)</f>
        <v/>
      </c>
      <c r="AD106" s="12">
        <f>IF(A106=MATCH(TRUE,$Y$2:$Y$261,0),MAX($AB$2:$AB$261),IF(A106=MATCH(TRUE,$Y$2:$Y$261,0)-1,0,NA()))</f>
        <v/>
      </c>
      <c r="AE106" s="12">
        <f>IF(A106=MATCH(TRUE,$Z$2:$Z$261,0),MAX($AB$2:$AB$261),IF(A106=MATCH(TRUE,$Z$2:$Z$261,0)-1,0,NA()))</f>
        <v/>
      </c>
    </row>
    <row r="107">
      <c r="A107" t="n">
        <v>106</v>
      </c>
      <c r="B107" s="14">
        <f>Variables!$B$24+(A107-1)*7</f>
        <v/>
      </c>
      <c r="C107" s="12">
        <f>P106</f>
        <v/>
      </c>
      <c r="D107" s="12">
        <f>Q106</f>
        <v/>
      </c>
      <c r="E107" s="12">
        <f>C107+IF(A107&gt;Variables!$B$25,D107,0)</f>
        <v/>
      </c>
      <c r="F107" s="12">
        <f>C107+D107</f>
        <v/>
      </c>
      <c r="G107" s="11">
        <f>IF(A107&gt;Variables!$B$22,Variables!$B$12,0)</f>
        <v/>
      </c>
      <c r="H107" s="11">
        <f>IF(AND(A107&gt;Variables!$B$22,Variables!$B$14="Yes"),Variables!$B$13,0)</f>
        <v/>
      </c>
      <c r="I107" s="11">
        <f>IF(AA107&gt;Variables!$B$18,0,IF(AA107&gt;Variables!$B$19,CEILING((AA107-Variables!$B$19)/Variables!$B$21,1)*Variables!$B$20,0))</f>
        <v/>
      </c>
      <c r="J107" s="11">
        <f>IF(AA107&lt;=Variables!$B$18,MIN(Variables!$B$9-Variables!$B$8+I107,Variables!$B$26),0)</f>
        <v/>
      </c>
      <c r="K107" s="11">
        <f>IF(AA107&lt;=Variables!$B$18,Variables!$B$27,0)</f>
        <v/>
      </c>
      <c r="L107" s="11">
        <f>IF(AA107&gt;Variables!$B$18,G107+H107,Variables!$B$26-J107)</f>
        <v/>
      </c>
      <c r="M107" s="11">
        <f>IF(AA107&gt;Variables!$B$18,Variables!$B$2-G107-H107,J107+K107)</f>
        <v/>
      </c>
      <c r="N107" s="11">
        <f>Variables!$B$9-AC107</f>
        <v/>
      </c>
      <c r="O107" s="12">
        <f>F107+N107</f>
        <v/>
      </c>
      <c r="P107" s="12">
        <f>MAX(0,C107+N107)</f>
        <v/>
      </c>
      <c r="Q107" s="12">
        <f>D107+MIN(0,C107+N107)</f>
        <v/>
      </c>
      <c r="R107">
        <f>IF(AA107&gt;Variables!$B$18,"Self-funder",IF(AA107&gt;Variables!$B$19,"Tariff band - council contributing","Council pays standard rate"))</f>
        <v/>
      </c>
      <c r="S107" s="12">
        <f>Variables!$B$18</f>
        <v/>
      </c>
      <c r="T107" s="12">
        <f>Variables!$B$19</f>
        <v/>
      </c>
      <c r="U107">
        <f>AA107&lt;=Variables!$B$18</f>
        <v/>
      </c>
      <c r="V107">
        <f>AA107&lt;=Variables!$B$19</f>
        <v/>
      </c>
      <c r="W107">
        <f>P107&lt;=0</f>
        <v/>
      </c>
      <c r="X107" s="12">
        <f>Variables!$B$28</f>
        <v/>
      </c>
      <c r="Y107">
        <f>AB107&lt;=Variables!$B$28</f>
        <v/>
      </c>
      <c r="Z107">
        <f>AB107&lt;=Variables!$B$18</f>
        <v/>
      </c>
      <c r="AA107" s="12">
        <f>AB106</f>
        <v/>
      </c>
      <c r="AB107" s="12">
        <f>AA107+Variables!$B$9-M107</f>
        <v/>
      </c>
      <c r="AC107" s="11">
        <f>IF(MOD(A107-1,Variables!$B$30)=0,Variables!$B$30*M107,0)</f>
        <v/>
      </c>
      <c r="AD107" s="12">
        <f>IF(A107=MATCH(TRUE,$Y$2:$Y$261,0),MAX($AB$2:$AB$261),IF(A107=MATCH(TRUE,$Y$2:$Y$261,0)-1,0,NA()))</f>
        <v/>
      </c>
      <c r="AE107" s="12">
        <f>IF(A107=MATCH(TRUE,$Z$2:$Z$261,0),MAX($AB$2:$AB$261),IF(A107=MATCH(TRUE,$Z$2:$Z$261,0)-1,0,NA()))</f>
        <v/>
      </c>
    </row>
    <row r="108">
      <c r="A108" t="n">
        <v>107</v>
      </c>
      <c r="B108" s="14">
        <f>Variables!$B$24+(A108-1)*7</f>
        <v/>
      </c>
      <c r="C108" s="12">
        <f>P107</f>
        <v/>
      </c>
      <c r="D108" s="12">
        <f>Q107</f>
        <v/>
      </c>
      <c r="E108" s="12">
        <f>C108+IF(A108&gt;Variables!$B$25,D108,0)</f>
        <v/>
      </c>
      <c r="F108" s="12">
        <f>C108+D108</f>
        <v/>
      </c>
      <c r="G108" s="11">
        <f>IF(A108&gt;Variables!$B$22,Variables!$B$12,0)</f>
        <v/>
      </c>
      <c r="H108" s="11">
        <f>IF(AND(A108&gt;Variables!$B$22,Variables!$B$14="Yes"),Variables!$B$13,0)</f>
        <v/>
      </c>
      <c r="I108" s="11">
        <f>IF(AA108&gt;Variables!$B$18,0,IF(AA108&gt;Variables!$B$19,CEILING((AA108-Variables!$B$19)/Variables!$B$21,1)*Variables!$B$20,0))</f>
        <v/>
      </c>
      <c r="J108" s="11">
        <f>IF(AA108&lt;=Variables!$B$18,MIN(Variables!$B$9-Variables!$B$8+I108,Variables!$B$26),0)</f>
        <v/>
      </c>
      <c r="K108" s="11">
        <f>IF(AA108&lt;=Variables!$B$18,Variables!$B$27,0)</f>
        <v/>
      </c>
      <c r="L108" s="11">
        <f>IF(AA108&gt;Variables!$B$18,G108+H108,Variables!$B$26-J108)</f>
        <v/>
      </c>
      <c r="M108" s="11">
        <f>IF(AA108&gt;Variables!$B$18,Variables!$B$2-G108-H108,J108+K108)</f>
        <v/>
      </c>
      <c r="N108" s="11">
        <f>Variables!$B$9-AC108</f>
        <v/>
      </c>
      <c r="O108" s="12">
        <f>F108+N108</f>
        <v/>
      </c>
      <c r="P108" s="12">
        <f>MAX(0,C108+N108)</f>
        <v/>
      </c>
      <c r="Q108" s="12">
        <f>D108+MIN(0,C108+N108)</f>
        <v/>
      </c>
      <c r="R108">
        <f>IF(AA108&gt;Variables!$B$18,"Self-funder",IF(AA108&gt;Variables!$B$19,"Tariff band - council contributing","Council pays standard rate"))</f>
        <v/>
      </c>
      <c r="S108" s="12">
        <f>Variables!$B$18</f>
        <v/>
      </c>
      <c r="T108" s="12">
        <f>Variables!$B$19</f>
        <v/>
      </c>
      <c r="U108">
        <f>AA108&lt;=Variables!$B$18</f>
        <v/>
      </c>
      <c r="V108">
        <f>AA108&lt;=Variables!$B$19</f>
        <v/>
      </c>
      <c r="W108">
        <f>P108&lt;=0</f>
        <v/>
      </c>
      <c r="X108" s="12">
        <f>Variables!$B$28</f>
        <v/>
      </c>
      <c r="Y108">
        <f>AB108&lt;=Variables!$B$28</f>
        <v/>
      </c>
      <c r="Z108">
        <f>AB108&lt;=Variables!$B$18</f>
        <v/>
      </c>
      <c r="AA108" s="12">
        <f>AB107</f>
        <v/>
      </c>
      <c r="AB108" s="12">
        <f>AA108+Variables!$B$9-M108</f>
        <v/>
      </c>
      <c r="AC108" s="11">
        <f>IF(MOD(A108-1,Variables!$B$30)=0,Variables!$B$30*M108,0)</f>
        <v/>
      </c>
      <c r="AD108" s="12">
        <f>IF(A108=MATCH(TRUE,$Y$2:$Y$261,0),MAX($AB$2:$AB$261),IF(A108=MATCH(TRUE,$Y$2:$Y$261,0)-1,0,NA()))</f>
        <v/>
      </c>
      <c r="AE108" s="12">
        <f>IF(A108=MATCH(TRUE,$Z$2:$Z$261,0),MAX($AB$2:$AB$261),IF(A108=MATCH(TRUE,$Z$2:$Z$261,0)-1,0,NA()))</f>
        <v/>
      </c>
    </row>
    <row r="109">
      <c r="A109" t="n">
        <v>108</v>
      </c>
      <c r="B109" s="14">
        <f>Variables!$B$24+(A109-1)*7</f>
        <v/>
      </c>
      <c r="C109" s="12">
        <f>P108</f>
        <v/>
      </c>
      <c r="D109" s="12">
        <f>Q108</f>
        <v/>
      </c>
      <c r="E109" s="12">
        <f>C109+IF(A109&gt;Variables!$B$25,D109,0)</f>
        <v/>
      </c>
      <c r="F109" s="12">
        <f>C109+D109</f>
        <v/>
      </c>
      <c r="G109" s="11">
        <f>IF(A109&gt;Variables!$B$22,Variables!$B$12,0)</f>
        <v/>
      </c>
      <c r="H109" s="11">
        <f>IF(AND(A109&gt;Variables!$B$22,Variables!$B$14="Yes"),Variables!$B$13,0)</f>
        <v/>
      </c>
      <c r="I109" s="11">
        <f>IF(AA109&gt;Variables!$B$18,0,IF(AA109&gt;Variables!$B$19,CEILING((AA109-Variables!$B$19)/Variables!$B$21,1)*Variables!$B$20,0))</f>
        <v/>
      </c>
      <c r="J109" s="11">
        <f>IF(AA109&lt;=Variables!$B$18,MIN(Variables!$B$9-Variables!$B$8+I109,Variables!$B$26),0)</f>
        <v/>
      </c>
      <c r="K109" s="11">
        <f>IF(AA109&lt;=Variables!$B$18,Variables!$B$27,0)</f>
        <v/>
      </c>
      <c r="L109" s="11">
        <f>IF(AA109&gt;Variables!$B$18,G109+H109,Variables!$B$26-J109)</f>
        <v/>
      </c>
      <c r="M109" s="11">
        <f>IF(AA109&gt;Variables!$B$18,Variables!$B$2-G109-H109,J109+K109)</f>
        <v/>
      </c>
      <c r="N109" s="11">
        <f>Variables!$B$9-AC109</f>
        <v/>
      </c>
      <c r="O109" s="12">
        <f>F109+N109</f>
        <v/>
      </c>
      <c r="P109" s="12">
        <f>MAX(0,C109+N109)</f>
        <v/>
      </c>
      <c r="Q109" s="12">
        <f>D109+MIN(0,C109+N109)</f>
        <v/>
      </c>
      <c r="R109">
        <f>IF(AA109&gt;Variables!$B$18,"Self-funder",IF(AA109&gt;Variables!$B$19,"Tariff band - council contributing","Council pays standard rate"))</f>
        <v/>
      </c>
      <c r="S109" s="12">
        <f>Variables!$B$18</f>
        <v/>
      </c>
      <c r="T109" s="12">
        <f>Variables!$B$19</f>
        <v/>
      </c>
      <c r="U109">
        <f>AA109&lt;=Variables!$B$18</f>
        <v/>
      </c>
      <c r="V109">
        <f>AA109&lt;=Variables!$B$19</f>
        <v/>
      </c>
      <c r="W109">
        <f>P109&lt;=0</f>
        <v/>
      </c>
      <c r="X109" s="12">
        <f>Variables!$B$28</f>
        <v/>
      </c>
      <c r="Y109">
        <f>AB109&lt;=Variables!$B$28</f>
        <v/>
      </c>
      <c r="Z109">
        <f>AB109&lt;=Variables!$B$18</f>
        <v/>
      </c>
      <c r="AA109" s="12">
        <f>AB108</f>
        <v/>
      </c>
      <c r="AB109" s="12">
        <f>AA109+Variables!$B$9-M109</f>
        <v/>
      </c>
      <c r="AC109" s="11">
        <f>IF(MOD(A109-1,Variables!$B$30)=0,Variables!$B$30*M109,0)</f>
        <v/>
      </c>
      <c r="AD109" s="12">
        <f>IF(A109=MATCH(TRUE,$Y$2:$Y$261,0),MAX($AB$2:$AB$261),IF(A109=MATCH(TRUE,$Y$2:$Y$261,0)-1,0,NA()))</f>
        <v/>
      </c>
      <c r="AE109" s="12">
        <f>IF(A109=MATCH(TRUE,$Z$2:$Z$261,0),MAX($AB$2:$AB$261),IF(A109=MATCH(TRUE,$Z$2:$Z$261,0)-1,0,NA()))</f>
        <v/>
      </c>
    </row>
    <row r="110">
      <c r="A110" t="n">
        <v>109</v>
      </c>
      <c r="B110" s="14">
        <f>Variables!$B$24+(A110-1)*7</f>
        <v/>
      </c>
      <c r="C110" s="12">
        <f>P109</f>
        <v/>
      </c>
      <c r="D110" s="12">
        <f>Q109</f>
        <v/>
      </c>
      <c r="E110" s="12">
        <f>C110+IF(A110&gt;Variables!$B$25,D110,0)</f>
        <v/>
      </c>
      <c r="F110" s="12">
        <f>C110+D110</f>
        <v/>
      </c>
      <c r="G110" s="11">
        <f>IF(A110&gt;Variables!$B$22,Variables!$B$12,0)</f>
        <v/>
      </c>
      <c r="H110" s="11">
        <f>IF(AND(A110&gt;Variables!$B$22,Variables!$B$14="Yes"),Variables!$B$13,0)</f>
        <v/>
      </c>
      <c r="I110" s="11">
        <f>IF(AA110&gt;Variables!$B$18,0,IF(AA110&gt;Variables!$B$19,CEILING((AA110-Variables!$B$19)/Variables!$B$21,1)*Variables!$B$20,0))</f>
        <v/>
      </c>
      <c r="J110" s="11">
        <f>IF(AA110&lt;=Variables!$B$18,MIN(Variables!$B$9-Variables!$B$8+I110,Variables!$B$26),0)</f>
        <v/>
      </c>
      <c r="K110" s="11">
        <f>IF(AA110&lt;=Variables!$B$18,Variables!$B$27,0)</f>
        <v/>
      </c>
      <c r="L110" s="11">
        <f>IF(AA110&gt;Variables!$B$18,G110+H110,Variables!$B$26-J110)</f>
        <v/>
      </c>
      <c r="M110" s="11">
        <f>IF(AA110&gt;Variables!$B$18,Variables!$B$2-G110-H110,J110+K110)</f>
        <v/>
      </c>
      <c r="N110" s="11">
        <f>Variables!$B$9-AC110</f>
        <v/>
      </c>
      <c r="O110" s="12">
        <f>F110+N110</f>
        <v/>
      </c>
      <c r="P110" s="12">
        <f>MAX(0,C110+N110)</f>
        <v/>
      </c>
      <c r="Q110" s="12">
        <f>D110+MIN(0,C110+N110)</f>
        <v/>
      </c>
      <c r="R110">
        <f>IF(AA110&gt;Variables!$B$18,"Self-funder",IF(AA110&gt;Variables!$B$19,"Tariff band - council contributing","Council pays standard rate"))</f>
        <v/>
      </c>
      <c r="S110" s="12">
        <f>Variables!$B$18</f>
        <v/>
      </c>
      <c r="T110" s="12">
        <f>Variables!$B$19</f>
        <v/>
      </c>
      <c r="U110">
        <f>AA110&lt;=Variables!$B$18</f>
        <v/>
      </c>
      <c r="V110">
        <f>AA110&lt;=Variables!$B$19</f>
        <v/>
      </c>
      <c r="W110">
        <f>P110&lt;=0</f>
        <v/>
      </c>
      <c r="X110" s="12">
        <f>Variables!$B$28</f>
        <v/>
      </c>
      <c r="Y110">
        <f>AB110&lt;=Variables!$B$28</f>
        <v/>
      </c>
      <c r="Z110">
        <f>AB110&lt;=Variables!$B$18</f>
        <v/>
      </c>
      <c r="AA110" s="12">
        <f>AB109</f>
        <v/>
      </c>
      <c r="AB110" s="12">
        <f>AA110+Variables!$B$9-M110</f>
        <v/>
      </c>
      <c r="AC110" s="11">
        <f>IF(MOD(A110-1,Variables!$B$30)=0,Variables!$B$30*M110,0)</f>
        <v/>
      </c>
      <c r="AD110" s="12">
        <f>IF(A110=MATCH(TRUE,$Y$2:$Y$261,0),MAX($AB$2:$AB$261),IF(A110=MATCH(TRUE,$Y$2:$Y$261,0)-1,0,NA()))</f>
        <v/>
      </c>
      <c r="AE110" s="12">
        <f>IF(A110=MATCH(TRUE,$Z$2:$Z$261,0),MAX($AB$2:$AB$261),IF(A110=MATCH(TRUE,$Z$2:$Z$261,0)-1,0,NA()))</f>
        <v/>
      </c>
    </row>
    <row r="111">
      <c r="A111" t="n">
        <v>110</v>
      </c>
      <c r="B111" s="14">
        <f>Variables!$B$24+(A111-1)*7</f>
        <v/>
      </c>
      <c r="C111" s="12">
        <f>P110</f>
        <v/>
      </c>
      <c r="D111" s="12">
        <f>Q110</f>
        <v/>
      </c>
      <c r="E111" s="12">
        <f>C111+IF(A111&gt;Variables!$B$25,D111,0)</f>
        <v/>
      </c>
      <c r="F111" s="12">
        <f>C111+D111</f>
        <v/>
      </c>
      <c r="G111" s="11">
        <f>IF(A111&gt;Variables!$B$22,Variables!$B$12,0)</f>
        <v/>
      </c>
      <c r="H111" s="11">
        <f>IF(AND(A111&gt;Variables!$B$22,Variables!$B$14="Yes"),Variables!$B$13,0)</f>
        <v/>
      </c>
      <c r="I111" s="11">
        <f>IF(AA111&gt;Variables!$B$18,0,IF(AA111&gt;Variables!$B$19,CEILING((AA111-Variables!$B$19)/Variables!$B$21,1)*Variables!$B$20,0))</f>
        <v/>
      </c>
      <c r="J111" s="11">
        <f>IF(AA111&lt;=Variables!$B$18,MIN(Variables!$B$9-Variables!$B$8+I111,Variables!$B$26),0)</f>
        <v/>
      </c>
      <c r="K111" s="11">
        <f>IF(AA111&lt;=Variables!$B$18,Variables!$B$27,0)</f>
        <v/>
      </c>
      <c r="L111" s="11">
        <f>IF(AA111&gt;Variables!$B$18,G111+H111,Variables!$B$26-J111)</f>
        <v/>
      </c>
      <c r="M111" s="11">
        <f>IF(AA111&gt;Variables!$B$18,Variables!$B$2-G111-H111,J111+K111)</f>
        <v/>
      </c>
      <c r="N111" s="11">
        <f>Variables!$B$9-AC111</f>
        <v/>
      </c>
      <c r="O111" s="12">
        <f>F111+N111</f>
        <v/>
      </c>
      <c r="P111" s="12">
        <f>MAX(0,C111+N111)</f>
        <v/>
      </c>
      <c r="Q111" s="12">
        <f>D111+MIN(0,C111+N111)</f>
        <v/>
      </c>
      <c r="R111">
        <f>IF(AA111&gt;Variables!$B$18,"Self-funder",IF(AA111&gt;Variables!$B$19,"Tariff band - council contributing","Council pays standard rate"))</f>
        <v/>
      </c>
      <c r="S111" s="12">
        <f>Variables!$B$18</f>
        <v/>
      </c>
      <c r="T111" s="12">
        <f>Variables!$B$19</f>
        <v/>
      </c>
      <c r="U111">
        <f>AA111&lt;=Variables!$B$18</f>
        <v/>
      </c>
      <c r="V111">
        <f>AA111&lt;=Variables!$B$19</f>
        <v/>
      </c>
      <c r="W111">
        <f>P111&lt;=0</f>
        <v/>
      </c>
      <c r="X111" s="12">
        <f>Variables!$B$28</f>
        <v/>
      </c>
      <c r="Y111">
        <f>AB111&lt;=Variables!$B$28</f>
        <v/>
      </c>
      <c r="Z111">
        <f>AB111&lt;=Variables!$B$18</f>
        <v/>
      </c>
      <c r="AA111" s="12">
        <f>AB110</f>
        <v/>
      </c>
      <c r="AB111" s="12">
        <f>AA111+Variables!$B$9-M111</f>
        <v/>
      </c>
      <c r="AC111" s="11">
        <f>IF(MOD(A111-1,Variables!$B$30)=0,Variables!$B$30*M111,0)</f>
        <v/>
      </c>
      <c r="AD111" s="12">
        <f>IF(A111=MATCH(TRUE,$Y$2:$Y$261,0),MAX($AB$2:$AB$261),IF(A111=MATCH(TRUE,$Y$2:$Y$261,0)-1,0,NA()))</f>
        <v/>
      </c>
      <c r="AE111" s="12">
        <f>IF(A111=MATCH(TRUE,$Z$2:$Z$261,0),MAX($AB$2:$AB$261),IF(A111=MATCH(TRUE,$Z$2:$Z$261,0)-1,0,NA()))</f>
        <v/>
      </c>
    </row>
    <row r="112">
      <c r="A112" t="n">
        <v>111</v>
      </c>
      <c r="B112" s="14">
        <f>Variables!$B$24+(A112-1)*7</f>
        <v/>
      </c>
      <c r="C112" s="12">
        <f>P111</f>
        <v/>
      </c>
      <c r="D112" s="12">
        <f>Q111</f>
        <v/>
      </c>
      <c r="E112" s="12">
        <f>C112+IF(A112&gt;Variables!$B$25,D112,0)</f>
        <v/>
      </c>
      <c r="F112" s="12">
        <f>C112+D112</f>
        <v/>
      </c>
      <c r="G112" s="11">
        <f>IF(A112&gt;Variables!$B$22,Variables!$B$12,0)</f>
        <v/>
      </c>
      <c r="H112" s="11">
        <f>IF(AND(A112&gt;Variables!$B$22,Variables!$B$14="Yes"),Variables!$B$13,0)</f>
        <v/>
      </c>
      <c r="I112" s="11">
        <f>IF(AA112&gt;Variables!$B$18,0,IF(AA112&gt;Variables!$B$19,CEILING((AA112-Variables!$B$19)/Variables!$B$21,1)*Variables!$B$20,0))</f>
        <v/>
      </c>
      <c r="J112" s="11">
        <f>IF(AA112&lt;=Variables!$B$18,MIN(Variables!$B$9-Variables!$B$8+I112,Variables!$B$26),0)</f>
        <v/>
      </c>
      <c r="K112" s="11">
        <f>IF(AA112&lt;=Variables!$B$18,Variables!$B$27,0)</f>
        <v/>
      </c>
      <c r="L112" s="11">
        <f>IF(AA112&gt;Variables!$B$18,G112+H112,Variables!$B$26-J112)</f>
        <v/>
      </c>
      <c r="M112" s="11">
        <f>IF(AA112&gt;Variables!$B$18,Variables!$B$2-G112-H112,J112+K112)</f>
        <v/>
      </c>
      <c r="N112" s="11">
        <f>Variables!$B$9-AC112</f>
        <v/>
      </c>
      <c r="O112" s="12">
        <f>F112+N112</f>
        <v/>
      </c>
      <c r="P112" s="12">
        <f>MAX(0,C112+N112)</f>
        <v/>
      </c>
      <c r="Q112" s="12">
        <f>D112+MIN(0,C112+N112)</f>
        <v/>
      </c>
      <c r="R112">
        <f>IF(AA112&gt;Variables!$B$18,"Self-funder",IF(AA112&gt;Variables!$B$19,"Tariff band - council contributing","Council pays standard rate"))</f>
        <v/>
      </c>
      <c r="S112" s="12">
        <f>Variables!$B$18</f>
        <v/>
      </c>
      <c r="T112" s="12">
        <f>Variables!$B$19</f>
        <v/>
      </c>
      <c r="U112">
        <f>AA112&lt;=Variables!$B$18</f>
        <v/>
      </c>
      <c r="V112">
        <f>AA112&lt;=Variables!$B$19</f>
        <v/>
      </c>
      <c r="W112">
        <f>P112&lt;=0</f>
        <v/>
      </c>
      <c r="X112" s="12">
        <f>Variables!$B$28</f>
        <v/>
      </c>
      <c r="Y112">
        <f>AB112&lt;=Variables!$B$28</f>
        <v/>
      </c>
      <c r="Z112">
        <f>AB112&lt;=Variables!$B$18</f>
        <v/>
      </c>
      <c r="AA112" s="12">
        <f>AB111</f>
        <v/>
      </c>
      <c r="AB112" s="12">
        <f>AA112+Variables!$B$9-M112</f>
        <v/>
      </c>
      <c r="AC112" s="11">
        <f>IF(MOD(A112-1,Variables!$B$30)=0,Variables!$B$30*M112,0)</f>
        <v/>
      </c>
      <c r="AD112" s="12">
        <f>IF(A112=MATCH(TRUE,$Y$2:$Y$261,0),MAX($AB$2:$AB$261),IF(A112=MATCH(TRUE,$Y$2:$Y$261,0)-1,0,NA()))</f>
        <v/>
      </c>
      <c r="AE112" s="12">
        <f>IF(A112=MATCH(TRUE,$Z$2:$Z$261,0),MAX($AB$2:$AB$261),IF(A112=MATCH(TRUE,$Z$2:$Z$261,0)-1,0,NA()))</f>
        <v/>
      </c>
    </row>
    <row r="113">
      <c r="A113" t="n">
        <v>112</v>
      </c>
      <c r="B113" s="14">
        <f>Variables!$B$24+(A113-1)*7</f>
        <v/>
      </c>
      <c r="C113" s="12">
        <f>P112</f>
        <v/>
      </c>
      <c r="D113" s="12">
        <f>Q112</f>
        <v/>
      </c>
      <c r="E113" s="12">
        <f>C113+IF(A113&gt;Variables!$B$25,D113,0)</f>
        <v/>
      </c>
      <c r="F113" s="12">
        <f>C113+D113</f>
        <v/>
      </c>
      <c r="G113" s="11">
        <f>IF(A113&gt;Variables!$B$22,Variables!$B$12,0)</f>
        <v/>
      </c>
      <c r="H113" s="11">
        <f>IF(AND(A113&gt;Variables!$B$22,Variables!$B$14="Yes"),Variables!$B$13,0)</f>
        <v/>
      </c>
      <c r="I113" s="11">
        <f>IF(AA113&gt;Variables!$B$18,0,IF(AA113&gt;Variables!$B$19,CEILING((AA113-Variables!$B$19)/Variables!$B$21,1)*Variables!$B$20,0))</f>
        <v/>
      </c>
      <c r="J113" s="11">
        <f>IF(AA113&lt;=Variables!$B$18,MIN(Variables!$B$9-Variables!$B$8+I113,Variables!$B$26),0)</f>
        <v/>
      </c>
      <c r="K113" s="11">
        <f>IF(AA113&lt;=Variables!$B$18,Variables!$B$27,0)</f>
        <v/>
      </c>
      <c r="L113" s="11">
        <f>IF(AA113&gt;Variables!$B$18,G113+H113,Variables!$B$26-J113)</f>
        <v/>
      </c>
      <c r="M113" s="11">
        <f>IF(AA113&gt;Variables!$B$18,Variables!$B$2-G113-H113,J113+K113)</f>
        <v/>
      </c>
      <c r="N113" s="11">
        <f>Variables!$B$9-AC113</f>
        <v/>
      </c>
      <c r="O113" s="12">
        <f>F113+N113</f>
        <v/>
      </c>
      <c r="P113" s="12">
        <f>MAX(0,C113+N113)</f>
        <v/>
      </c>
      <c r="Q113" s="12">
        <f>D113+MIN(0,C113+N113)</f>
        <v/>
      </c>
      <c r="R113">
        <f>IF(AA113&gt;Variables!$B$18,"Self-funder",IF(AA113&gt;Variables!$B$19,"Tariff band - council contributing","Council pays standard rate"))</f>
        <v/>
      </c>
      <c r="S113" s="12">
        <f>Variables!$B$18</f>
        <v/>
      </c>
      <c r="T113" s="12">
        <f>Variables!$B$19</f>
        <v/>
      </c>
      <c r="U113">
        <f>AA113&lt;=Variables!$B$18</f>
        <v/>
      </c>
      <c r="V113">
        <f>AA113&lt;=Variables!$B$19</f>
        <v/>
      </c>
      <c r="W113">
        <f>P113&lt;=0</f>
        <v/>
      </c>
      <c r="X113" s="12">
        <f>Variables!$B$28</f>
        <v/>
      </c>
      <c r="Y113">
        <f>AB113&lt;=Variables!$B$28</f>
        <v/>
      </c>
      <c r="Z113">
        <f>AB113&lt;=Variables!$B$18</f>
        <v/>
      </c>
      <c r="AA113" s="12">
        <f>AB112</f>
        <v/>
      </c>
      <c r="AB113" s="12">
        <f>AA113+Variables!$B$9-M113</f>
        <v/>
      </c>
      <c r="AC113" s="11">
        <f>IF(MOD(A113-1,Variables!$B$30)=0,Variables!$B$30*M113,0)</f>
        <v/>
      </c>
      <c r="AD113" s="12">
        <f>IF(A113=MATCH(TRUE,$Y$2:$Y$261,0),MAX($AB$2:$AB$261),IF(A113=MATCH(TRUE,$Y$2:$Y$261,0)-1,0,NA()))</f>
        <v/>
      </c>
      <c r="AE113" s="12">
        <f>IF(A113=MATCH(TRUE,$Z$2:$Z$261,0),MAX($AB$2:$AB$261),IF(A113=MATCH(TRUE,$Z$2:$Z$261,0)-1,0,NA()))</f>
        <v/>
      </c>
    </row>
    <row r="114">
      <c r="A114" t="n">
        <v>113</v>
      </c>
      <c r="B114" s="14">
        <f>Variables!$B$24+(A114-1)*7</f>
        <v/>
      </c>
      <c r="C114" s="12">
        <f>P113</f>
        <v/>
      </c>
      <c r="D114" s="12">
        <f>Q113</f>
        <v/>
      </c>
      <c r="E114" s="12">
        <f>C114+IF(A114&gt;Variables!$B$25,D114,0)</f>
        <v/>
      </c>
      <c r="F114" s="12">
        <f>C114+D114</f>
        <v/>
      </c>
      <c r="G114" s="11">
        <f>IF(A114&gt;Variables!$B$22,Variables!$B$12,0)</f>
        <v/>
      </c>
      <c r="H114" s="11">
        <f>IF(AND(A114&gt;Variables!$B$22,Variables!$B$14="Yes"),Variables!$B$13,0)</f>
        <v/>
      </c>
      <c r="I114" s="11">
        <f>IF(AA114&gt;Variables!$B$18,0,IF(AA114&gt;Variables!$B$19,CEILING((AA114-Variables!$B$19)/Variables!$B$21,1)*Variables!$B$20,0))</f>
        <v/>
      </c>
      <c r="J114" s="11">
        <f>IF(AA114&lt;=Variables!$B$18,MIN(Variables!$B$9-Variables!$B$8+I114,Variables!$B$26),0)</f>
        <v/>
      </c>
      <c r="K114" s="11">
        <f>IF(AA114&lt;=Variables!$B$18,Variables!$B$27,0)</f>
        <v/>
      </c>
      <c r="L114" s="11">
        <f>IF(AA114&gt;Variables!$B$18,G114+H114,Variables!$B$26-J114)</f>
        <v/>
      </c>
      <c r="M114" s="11">
        <f>IF(AA114&gt;Variables!$B$18,Variables!$B$2-G114-H114,J114+K114)</f>
        <v/>
      </c>
      <c r="N114" s="11">
        <f>Variables!$B$9-AC114</f>
        <v/>
      </c>
      <c r="O114" s="12">
        <f>F114+N114</f>
        <v/>
      </c>
      <c r="P114" s="12">
        <f>MAX(0,C114+N114)</f>
        <v/>
      </c>
      <c r="Q114" s="12">
        <f>D114+MIN(0,C114+N114)</f>
        <v/>
      </c>
      <c r="R114">
        <f>IF(AA114&gt;Variables!$B$18,"Self-funder",IF(AA114&gt;Variables!$B$19,"Tariff band - council contributing","Council pays standard rate"))</f>
        <v/>
      </c>
      <c r="S114" s="12">
        <f>Variables!$B$18</f>
        <v/>
      </c>
      <c r="T114" s="12">
        <f>Variables!$B$19</f>
        <v/>
      </c>
      <c r="U114">
        <f>AA114&lt;=Variables!$B$18</f>
        <v/>
      </c>
      <c r="V114">
        <f>AA114&lt;=Variables!$B$19</f>
        <v/>
      </c>
      <c r="W114">
        <f>P114&lt;=0</f>
        <v/>
      </c>
      <c r="X114" s="12">
        <f>Variables!$B$28</f>
        <v/>
      </c>
      <c r="Y114">
        <f>AB114&lt;=Variables!$B$28</f>
        <v/>
      </c>
      <c r="Z114">
        <f>AB114&lt;=Variables!$B$18</f>
        <v/>
      </c>
      <c r="AA114" s="12">
        <f>AB113</f>
        <v/>
      </c>
      <c r="AB114" s="12">
        <f>AA114+Variables!$B$9-M114</f>
        <v/>
      </c>
      <c r="AC114" s="11">
        <f>IF(MOD(A114-1,Variables!$B$30)=0,Variables!$B$30*M114,0)</f>
        <v/>
      </c>
      <c r="AD114" s="12">
        <f>IF(A114=MATCH(TRUE,$Y$2:$Y$261,0),MAX($AB$2:$AB$261),IF(A114=MATCH(TRUE,$Y$2:$Y$261,0)-1,0,NA()))</f>
        <v/>
      </c>
      <c r="AE114" s="12">
        <f>IF(A114=MATCH(TRUE,$Z$2:$Z$261,0),MAX($AB$2:$AB$261),IF(A114=MATCH(TRUE,$Z$2:$Z$261,0)-1,0,NA()))</f>
        <v/>
      </c>
    </row>
    <row r="115">
      <c r="A115" t="n">
        <v>114</v>
      </c>
      <c r="B115" s="14">
        <f>Variables!$B$24+(A115-1)*7</f>
        <v/>
      </c>
      <c r="C115" s="12">
        <f>P114</f>
        <v/>
      </c>
      <c r="D115" s="12">
        <f>Q114</f>
        <v/>
      </c>
      <c r="E115" s="12">
        <f>C115+IF(A115&gt;Variables!$B$25,D115,0)</f>
        <v/>
      </c>
      <c r="F115" s="12">
        <f>C115+D115</f>
        <v/>
      </c>
      <c r="G115" s="11">
        <f>IF(A115&gt;Variables!$B$22,Variables!$B$12,0)</f>
        <v/>
      </c>
      <c r="H115" s="11">
        <f>IF(AND(A115&gt;Variables!$B$22,Variables!$B$14="Yes"),Variables!$B$13,0)</f>
        <v/>
      </c>
      <c r="I115" s="11">
        <f>IF(AA115&gt;Variables!$B$18,0,IF(AA115&gt;Variables!$B$19,CEILING((AA115-Variables!$B$19)/Variables!$B$21,1)*Variables!$B$20,0))</f>
        <v/>
      </c>
      <c r="J115" s="11">
        <f>IF(AA115&lt;=Variables!$B$18,MIN(Variables!$B$9-Variables!$B$8+I115,Variables!$B$26),0)</f>
        <v/>
      </c>
      <c r="K115" s="11">
        <f>IF(AA115&lt;=Variables!$B$18,Variables!$B$27,0)</f>
        <v/>
      </c>
      <c r="L115" s="11">
        <f>IF(AA115&gt;Variables!$B$18,G115+H115,Variables!$B$26-J115)</f>
        <v/>
      </c>
      <c r="M115" s="11">
        <f>IF(AA115&gt;Variables!$B$18,Variables!$B$2-G115-H115,J115+K115)</f>
        <v/>
      </c>
      <c r="N115" s="11">
        <f>Variables!$B$9-AC115</f>
        <v/>
      </c>
      <c r="O115" s="12">
        <f>F115+N115</f>
        <v/>
      </c>
      <c r="P115" s="12">
        <f>MAX(0,C115+N115)</f>
        <v/>
      </c>
      <c r="Q115" s="12">
        <f>D115+MIN(0,C115+N115)</f>
        <v/>
      </c>
      <c r="R115">
        <f>IF(AA115&gt;Variables!$B$18,"Self-funder",IF(AA115&gt;Variables!$B$19,"Tariff band - council contributing","Council pays standard rate"))</f>
        <v/>
      </c>
      <c r="S115" s="12">
        <f>Variables!$B$18</f>
        <v/>
      </c>
      <c r="T115" s="12">
        <f>Variables!$B$19</f>
        <v/>
      </c>
      <c r="U115">
        <f>AA115&lt;=Variables!$B$18</f>
        <v/>
      </c>
      <c r="V115">
        <f>AA115&lt;=Variables!$B$19</f>
        <v/>
      </c>
      <c r="W115">
        <f>P115&lt;=0</f>
        <v/>
      </c>
      <c r="X115" s="12">
        <f>Variables!$B$28</f>
        <v/>
      </c>
      <c r="Y115">
        <f>AB115&lt;=Variables!$B$28</f>
        <v/>
      </c>
      <c r="Z115">
        <f>AB115&lt;=Variables!$B$18</f>
        <v/>
      </c>
      <c r="AA115" s="12">
        <f>AB114</f>
        <v/>
      </c>
      <c r="AB115" s="12">
        <f>AA115+Variables!$B$9-M115</f>
        <v/>
      </c>
      <c r="AC115" s="11">
        <f>IF(MOD(A115-1,Variables!$B$30)=0,Variables!$B$30*M115,0)</f>
        <v/>
      </c>
      <c r="AD115" s="12">
        <f>IF(A115=MATCH(TRUE,$Y$2:$Y$261,0),MAX($AB$2:$AB$261),IF(A115=MATCH(TRUE,$Y$2:$Y$261,0)-1,0,NA()))</f>
        <v/>
      </c>
      <c r="AE115" s="12">
        <f>IF(A115=MATCH(TRUE,$Z$2:$Z$261,0),MAX($AB$2:$AB$261),IF(A115=MATCH(TRUE,$Z$2:$Z$261,0)-1,0,NA()))</f>
        <v/>
      </c>
    </row>
    <row r="116">
      <c r="A116" t="n">
        <v>115</v>
      </c>
      <c r="B116" s="14">
        <f>Variables!$B$24+(A116-1)*7</f>
        <v/>
      </c>
      <c r="C116" s="12">
        <f>P115</f>
        <v/>
      </c>
      <c r="D116" s="12">
        <f>Q115</f>
        <v/>
      </c>
      <c r="E116" s="12">
        <f>C116+IF(A116&gt;Variables!$B$25,D116,0)</f>
        <v/>
      </c>
      <c r="F116" s="12">
        <f>C116+D116</f>
        <v/>
      </c>
      <c r="G116" s="11">
        <f>IF(A116&gt;Variables!$B$22,Variables!$B$12,0)</f>
        <v/>
      </c>
      <c r="H116" s="11">
        <f>IF(AND(A116&gt;Variables!$B$22,Variables!$B$14="Yes"),Variables!$B$13,0)</f>
        <v/>
      </c>
      <c r="I116" s="11">
        <f>IF(AA116&gt;Variables!$B$18,0,IF(AA116&gt;Variables!$B$19,CEILING((AA116-Variables!$B$19)/Variables!$B$21,1)*Variables!$B$20,0))</f>
        <v/>
      </c>
      <c r="J116" s="11">
        <f>IF(AA116&lt;=Variables!$B$18,MIN(Variables!$B$9-Variables!$B$8+I116,Variables!$B$26),0)</f>
        <v/>
      </c>
      <c r="K116" s="11">
        <f>IF(AA116&lt;=Variables!$B$18,Variables!$B$27,0)</f>
        <v/>
      </c>
      <c r="L116" s="11">
        <f>IF(AA116&gt;Variables!$B$18,G116+H116,Variables!$B$26-J116)</f>
        <v/>
      </c>
      <c r="M116" s="11">
        <f>IF(AA116&gt;Variables!$B$18,Variables!$B$2-G116-H116,J116+K116)</f>
        <v/>
      </c>
      <c r="N116" s="11">
        <f>Variables!$B$9-AC116</f>
        <v/>
      </c>
      <c r="O116" s="12">
        <f>F116+N116</f>
        <v/>
      </c>
      <c r="P116" s="12">
        <f>MAX(0,C116+N116)</f>
        <v/>
      </c>
      <c r="Q116" s="12">
        <f>D116+MIN(0,C116+N116)</f>
        <v/>
      </c>
      <c r="R116">
        <f>IF(AA116&gt;Variables!$B$18,"Self-funder",IF(AA116&gt;Variables!$B$19,"Tariff band - council contributing","Council pays standard rate"))</f>
        <v/>
      </c>
      <c r="S116" s="12">
        <f>Variables!$B$18</f>
        <v/>
      </c>
      <c r="T116" s="12">
        <f>Variables!$B$19</f>
        <v/>
      </c>
      <c r="U116">
        <f>AA116&lt;=Variables!$B$18</f>
        <v/>
      </c>
      <c r="V116">
        <f>AA116&lt;=Variables!$B$19</f>
        <v/>
      </c>
      <c r="W116">
        <f>P116&lt;=0</f>
        <v/>
      </c>
      <c r="X116" s="12">
        <f>Variables!$B$28</f>
        <v/>
      </c>
      <c r="Y116">
        <f>AB116&lt;=Variables!$B$28</f>
        <v/>
      </c>
      <c r="Z116">
        <f>AB116&lt;=Variables!$B$18</f>
        <v/>
      </c>
      <c r="AA116" s="12">
        <f>AB115</f>
        <v/>
      </c>
      <c r="AB116" s="12">
        <f>AA116+Variables!$B$9-M116</f>
        <v/>
      </c>
      <c r="AC116" s="11">
        <f>IF(MOD(A116-1,Variables!$B$30)=0,Variables!$B$30*M116,0)</f>
        <v/>
      </c>
      <c r="AD116" s="12">
        <f>IF(A116=MATCH(TRUE,$Y$2:$Y$261,0),MAX($AB$2:$AB$261),IF(A116=MATCH(TRUE,$Y$2:$Y$261,0)-1,0,NA()))</f>
        <v/>
      </c>
      <c r="AE116" s="12">
        <f>IF(A116=MATCH(TRUE,$Z$2:$Z$261,0),MAX($AB$2:$AB$261),IF(A116=MATCH(TRUE,$Z$2:$Z$261,0)-1,0,NA()))</f>
        <v/>
      </c>
    </row>
    <row r="117">
      <c r="A117" t="n">
        <v>116</v>
      </c>
      <c r="B117" s="14">
        <f>Variables!$B$24+(A117-1)*7</f>
        <v/>
      </c>
      <c r="C117" s="12">
        <f>P116</f>
        <v/>
      </c>
      <c r="D117" s="12">
        <f>Q116</f>
        <v/>
      </c>
      <c r="E117" s="12">
        <f>C117+IF(A117&gt;Variables!$B$25,D117,0)</f>
        <v/>
      </c>
      <c r="F117" s="12">
        <f>C117+D117</f>
        <v/>
      </c>
      <c r="G117" s="11">
        <f>IF(A117&gt;Variables!$B$22,Variables!$B$12,0)</f>
        <v/>
      </c>
      <c r="H117" s="11">
        <f>IF(AND(A117&gt;Variables!$B$22,Variables!$B$14="Yes"),Variables!$B$13,0)</f>
        <v/>
      </c>
      <c r="I117" s="11">
        <f>IF(AA117&gt;Variables!$B$18,0,IF(AA117&gt;Variables!$B$19,CEILING((AA117-Variables!$B$19)/Variables!$B$21,1)*Variables!$B$20,0))</f>
        <v/>
      </c>
      <c r="J117" s="11">
        <f>IF(AA117&lt;=Variables!$B$18,MIN(Variables!$B$9-Variables!$B$8+I117,Variables!$B$26),0)</f>
        <v/>
      </c>
      <c r="K117" s="11">
        <f>IF(AA117&lt;=Variables!$B$18,Variables!$B$27,0)</f>
        <v/>
      </c>
      <c r="L117" s="11">
        <f>IF(AA117&gt;Variables!$B$18,G117+H117,Variables!$B$26-J117)</f>
        <v/>
      </c>
      <c r="M117" s="11">
        <f>IF(AA117&gt;Variables!$B$18,Variables!$B$2-G117-H117,J117+K117)</f>
        <v/>
      </c>
      <c r="N117" s="11">
        <f>Variables!$B$9-AC117</f>
        <v/>
      </c>
      <c r="O117" s="12">
        <f>F117+N117</f>
        <v/>
      </c>
      <c r="P117" s="12">
        <f>MAX(0,C117+N117)</f>
        <v/>
      </c>
      <c r="Q117" s="12">
        <f>D117+MIN(0,C117+N117)</f>
        <v/>
      </c>
      <c r="R117">
        <f>IF(AA117&gt;Variables!$B$18,"Self-funder",IF(AA117&gt;Variables!$B$19,"Tariff band - council contributing","Council pays standard rate"))</f>
        <v/>
      </c>
      <c r="S117" s="12">
        <f>Variables!$B$18</f>
        <v/>
      </c>
      <c r="T117" s="12">
        <f>Variables!$B$19</f>
        <v/>
      </c>
      <c r="U117">
        <f>AA117&lt;=Variables!$B$18</f>
        <v/>
      </c>
      <c r="V117">
        <f>AA117&lt;=Variables!$B$19</f>
        <v/>
      </c>
      <c r="W117">
        <f>P117&lt;=0</f>
        <v/>
      </c>
      <c r="X117" s="12">
        <f>Variables!$B$28</f>
        <v/>
      </c>
      <c r="Y117">
        <f>AB117&lt;=Variables!$B$28</f>
        <v/>
      </c>
      <c r="Z117">
        <f>AB117&lt;=Variables!$B$18</f>
        <v/>
      </c>
      <c r="AA117" s="12">
        <f>AB116</f>
        <v/>
      </c>
      <c r="AB117" s="12">
        <f>AA117+Variables!$B$9-M117</f>
        <v/>
      </c>
      <c r="AC117" s="11">
        <f>IF(MOD(A117-1,Variables!$B$30)=0,Variables!$B$30*M117,0)</f>
        <v/>
      </c>
      <c r="AD117" s="12">
        <f>IF(A117=MATCH(TRUE,$Y$2:$Y$261,0),MAX($AB$2:$AB$261),IF(A117=MATCH(TRUE,$Y$2:$Y$261,0)-1,0,NA()))</f>
        <v/>
      </c>
      <c r="AE117" s="12">
        <f>IF(A117=MATCH(TRUE,$Z$2:$Z$261,0),MAX($AB$2:$AB$261),IF(A117=MATCH(TRUE,$Z$2:$Z$261,0)-1,0,NA()))</f>
        <v/>
      </c>
    </row>
    <row r="118">
      <c r="A118" t="n">
        <v>117</v>
      </c>
      <c r="B118" s="14">
        <f>Variables!$B$24+(A118-1)*7</f>
        <v/>
      </c>
      <c r="C118" s="12">
        <f>P117</f>
        <v/>
      </c>
      <c r="D118" s="12">
        <f>Q117</f>
        <v/>
      </c>
      <c r="E118" s="12">
        <f>C118+IF(A118&gt;Variables!$B$25,D118,0)</f>
        <v/>
      </c>
      <c r="F118" s="12">
        <f>C118+D118</f>
        <v/>
      </c>
      <c r="G118" s="11">
        <f>IF(A118&gt;Variables!$B$22,Variables!$B$12,0)</f>
        <v/>
      </c>
      <c r="H118" s="11">
        <f>IF(AND(A118&gt;Variables!$B$22,Variables!$B$14="Yes"),Variables!$B$13,0)</f>
        <v/>
      </c>
      <c r="I118" s="11">
        <f>IF(AA118&gt;Variables!$B$18,0,IF(AA118&gt;Variables!$B$19,CEILING((AA118-Variables!$B$19)/Variables!$B$21,1)*Variables!$B$20,0))</f>
        <v/>
      </c>
      <c r="J118" s="11">
        <f>IF(AA118&lt;=Variables!$B$18,MIN(Variables!$B$9-Variables!$B$8+I118,Variables!$B$26),0)</f>
        <v/>
      </c>
      <c r="K118" s="11">
        <f>IF(AA118&lt;=Variables!$B$18,Variables!$B$27,0)</f>
        <v/>
      </c>
      <c r="L118" s="11">
        <f>IF(AA118&gt;Variables!$B$18,G118+H118,Variables!$B$26-J118)</f>
        <v/>
      </c>
      <c r="M118" s="11">
        <f>IF(AA118&gt;Variables!$B$18,Variables!$B$2-G118-H118,J118+K118)</f>
        <v/>
      </c>
      <c r="N118" s="11">
        <f>Variables!$B$9-AC118</f>
        <v/>
      </c>
      <c r="O118" s="12">
        <f>F118+N118</f>
        <v/>
      </c>
      <c r="P118" s="12">
        <f>MAX(0,C118+N118)</f>
        <v/>
      </c>
      <c r="Q118" s="12">
        <f>D118+MIN(0,C118+N118)</f>
        <v/>
      </c>
      <c r="R118">
        <f>IF(AA118&gt;Variables!$B$18,"Self-funder",IF(AA118&gt;Variables!$B$19,"Tariff band - council contributing","Council pays standard rate"))</f>
        <v/>
      </c>
      <c r="S118" s="12">
        <f>Variables!$B$18</f>
        <v/>
      </c>
      <c r="T118" s="12">
        <f>Variables!$B$19</f>
        <v/>
      </c>
      <c r="U118">
        <f>AA118&lt;=Variables!$B$18</f>
        <v/>
      </c>
      <c r="V118">
        <f>AA118&lt;=Variables!$B$19</f>
        <v/>
      </c>
      <c r="W118">
        <f>P118&lt;=0</f>
        <v/>
      </c>
      <c r="X118" s="12">
        <f>Variables!$B$28</f>
        <v/>
      </c>
      <c r="Y118">
        <f>AB118&lt;=Variables!$B$28</f>
        <v/>
      </c>
      <c r="Z118">
        <f>AB118&lt;=Variables!$B$18</f>
        <v/>
      </c>
      <c r="AA118" s="12">
        <f>AB117</f>
        <v/>
      </c>
      <c r="AB118" s="12">
        <f>AA118+Variables!$B$9-M118</f>
        <v/>
      </c>
      <c r="AC118" s="11">
        <f>IF(MOD(A118-1,Variables!$B$30)=0,Variables!$B$30*M118,0)</f>
        <v/>
      </c>
      <c r="AD118" s="12">
        <f>IF(A118=MATCH(TRUE,$Y$2:$Y$261,0),MAX($AB$2:$AB$261),IF(A118=MATCH(TRUE,$Y$2:$Y$261,0)-1,0,NA()))</f>
        <v/>
      </c>
      <c r="AE118" s="12">
        <f>IF(A118=MATCH(TRUE,$Z$2:$Z$261,0),MAX($AB$2:$AB$261),IF(A118=MATCH(TRUE,$Z$2:$Z$261,0)-1,0,NA()))</f>
        <v/>
      </c>
    </row>
    <row r="119">
      <c r="A119" t="n">
        <v>118</v>
      </c>
      <c r="B119" s="14">
        <f>Variables!$B$24+(A119-1)*7</f>
        <v/>
      </c>
      <c r="C119" s="12">
        <f>P118</f>
        <v/>
      </c>
      <c r="D119" s="12">
        <f>Q118</f>
        <v/>
      </c>
      <c r="E119" s="12">
        <f>C119+IF(A119&gt;Variables!$B$25,D119,0)</f>
        <v/>
      </c>
      <c r="F119" s="12">
        <f>C119+D119</f>
        <v/>
      </c>
      <c r="G119" s="11">
        <f>IF(A119&gt;Variables!$B$22,Variables!$B$12,0)</f>
        <v/>
      </c>
      <c r="H119" s="11">
        <f>IF(AND(A119&gt;Variables!$B$22,Variables!$B$14="Yes"),Variables!$B$13,0)</f>
        <v/>
      </c>
      <c r="I119" s="11">
        <f>IF(AA119&gt;Variables!$B$18,0,IF(AA119&gt;Variables!$B$19,CEILING((AA119-Variables!$B$19)/Variables!$B$21,1)*Variables!$B$20,0))</f>
        <v/>
      </c>
      <c r="J119" s="11">
        <f>IF(AA119&lt;=Variables!$B$18,MIN(Variables!$B$9-Variables!$B$8+I119,Variables!$B$26),0)</f>
        <v/>
      </c>
      <c r="K119" s="11">
        <f>IF(AA119&lt;=Variables!$B$18,Variables!$B$27,0)</f>
        <v/>
      </c>
      <c r="L119" s="11">
        <f>IF(AA119&gt;Variables!$B$18,G119+H119,Variables!$B$26-J119)</f>
        <v/>
      </c>
      <c r="M119" s="11">
        <f>IF(AA119&gt;Variables!$B$18,Variables!$B$2-G119-H119,J119+K119)</f>
        <v/>
      </c>
      <c r="N119" s="11">
        <f>Variables!$B$9-AC119</f>
        <v/>
      </c>
      <c r="O119" s="12">
        <f>F119+N119</f>
        <v/>
      </c>
      <c r="P119" s="12">
        <f>MAX(0,C119+N119)</f>
        <v/>
      </c>
      <c r="Q119" s="12">
        <f>D119+MIN(0,C119+N119)</f>
        <v/>
      </c>
      <c r="R119">
        <f>IF(AA119&gt;Variables!$B$18,"Self-funder",IF(AA119&gt;Variables!$B$19,"Tariff band - council contributing","Council pays standard rate"))</f>
        <v/>
      </c>
      <c r="S119" s="12">
        <f>Variables!$B$18</f>
        <v/>
      </c>
      <c r="T119" s="12">
        <f>Variables!$B$19</f>
        <v/>
      </c>
      <c r="U119">
        <f>AA119&lt;=Variables!$B$18</f>
        <v/>
      </c>
      <c r="V119">
        <f>AA119&lt;=Variables!$B$19</f>
        <v/>
      </c>
      <c r="W119">
        <f>P119&lt;=0</f>
        <v/>
      </c>
      <c r="X119" s="12">
        <f>Variables!$B$28</f>
        <v/>
      </c>
      <c r="Y119">
        <f>AB119&lt;=Variables!$B$28</f>
        <v/>
      </c>
      <c r="Z119">
        <f>AB119&lt;=Variables!$B$18</f>
        <v/>
      </c>
      <c r="AA119" s="12">
        <f>AB118</f>
        <v/>
      </c>
      <c r="AB119" s="12">
        <f>AA119+Variables!$B$9-M119</f>
        <v/>
      </c>
      <c r="AC119" s="11">
        <f>IF(MOD(A119-1,Variables!$B$30)=0,Variables!$B$30*M119,0)</f>
        <v/>
      </c>
      <c r="AD119" s="12">
        <f>IF(A119=MATCH(TRUE,$Y$2:$Y$261,0),MAX($AB$2:$AB$261),IF(A119=MATCH(TRUE,$Y$2:$Y$261,0)-1,0,NA()))</f>
        <v/>
      </c>
      <c r="AE119" s="12">
        <f>IF(A119=MATCH(TRUE,$Z$2:$Z$261,0),MAX($AB$2:$AB$261),IF(A119=MATCH(TRUE,$Z$2:$Z$261,0)-1,0,NA()))</f>
        <v/>
      </c>
    </row>
    <row r="120">
      <c r="A120" t="n">
        <v>119</v>
      </c>
      <c r="B120" s="14">
        <f>Variables!$B$24+(A120-1)*7</f>
        <v/>
      </c>
      <c r="C120" s="12">
        <f>P119</f>
        <v/>
      </c>
      <c r="D120" s="12">
        <f>Q119</f>
        <v/>
      </c>
      <c r="E120" s="12">
        <f>C120+IF(A120&gt;Variables!$B$25,D120,0)</f>
        <v/>
      </c>
      <c r="F120" s="12">
        <f>C120+D120</f>
        <v/>
      </c>
      <c r="G120" s="11">
        <f>IF(A120&gt;Variables!$B$22,Variables!$B$12,0)</f>
        <v/>
      </c>
      <c r="H120" s="11">
        <f>IF(AND(A120&gt;Variables!$B$22,Variables!$B$14="Yes"),Variables!$B$13,0)</f>
        <v/>
      </c>
      <c r="I120" s="11">
        <f>IF(AA120&gt;Variables!$B$18,0,IF(AA120&gt;Variables!$B$19,CEILING((AA120-Variables!$B$19)/Variables!$B$21,1)*Variables!$B$20,0))</f>
        <v/>
      </c>
      <c r="J120" s="11">
        <f>IF(AA120&lt;=Variables!$B$18,MIN(Variables!$B$9-Variables!$B$8+I120,Variables!$B$26),0)</f>
        <v/>
      </c>
      <c r="K120" s="11">
        <f>IF(AA120&lt;=Variables!$B$18,Variables!$B$27,0)</f>
        <v/>
      </c>
      <c r="L120" s="11">
        <f>IF(AA120&gt;Variables!$B$18,G120+H120,Variables!$B$26-J120)</f>
        <v/>
      </c>
      <c r="M120" s="11">
        <f>IF(AA120&gt;Variables!$B$18,Variables!$B$2-G120-H120,J120+K120)</f>
        <v/>
      </c>
      <c r="N120" s="11">
        <f>Variables!$B$9-AC120</f>
        <v/>
      </c>
      <c r="O120" s="12">
        <f>F120+N120</f>
        <v/>
      </c>
      <c r="P120" s="12">
        <f>MAX(0,C120+N120)</f>
        <v/>
      </c>
      <c r="Q120" s="12">
        <f>D120+MIN(0,C120+N120)</f>
        <v/>
      </c>
      <c r="R120">
        <f>IF(AA120&gt;Variables!$B$18,"Self-funder",IF(AA120&gt;Variables!$B$19,"Tariff band - council contributing","Council pays standard rate"))</f>
        <v/>
      </c>
      <c r="S120" s="12">
        <f>Variables!$B$18</f>
        <v/>
      </c>
      <c r="T120" s="12">
        <f>Variables!$B$19</f>
        <v/>
      </c>
      <c r="U120">
        <f>AA120&lt;=Variables!$B$18</f>
        <v/>
      </c>
      <c r="V120">
        <f>AA120&lt;=Variables!$B$19</f>
        <v/>
      </c>
      <c r="W120">
        <f>P120&lt;=0</f>
        <v/>
      </c>
      <c r="X120" s="12">
        <f>Variables!$B$28</f>
        <v/>
      </c>
      <c r="Y120">
        <f>AB120&lt;=Variables!$B$28</f>
        <v/>
      </c>
      <c r="Z120">
        <f>AB120&lt;=Variables!$B$18</f>
        <v/>
      </c>
      <c r="AA120" s="12">
        <f>AB119</f>
        <v/>
      </c>
      <c r="AB120" s="12">
        <f>AA120+Variables!$B$9-M120</f>
        <v/>
      </c>
      <c r="AC120" s="11">
        <f>IF(MOD(A120-1,Variables!$B$30)=0,Variables!$B$30*M120,0)</f>
        <v/>
      </c>
      <c r="AD120" s="12">
        <f>IF(A120=MATCH(TRUE,$Y$2:$Y$261,0),MAX($AB$2:$AB$261),IF(A120=MATCH(TRUE,$Y$2:$Y$261,0)-1,0,NA()))</f>
        <v/>
      </c>
      <c r="AE120" s="12">
        <f>IF(A120=MATCH(TRUE,$Z$2:$Z$261,0),MAX($AB$2:$AB$261),IF(A120=MATCH(TRUE,$Z$2:$Z$261,0)-1,0,NA()))</f>
        <v/>
      </c>
    </row>
    <row r="121">
      <c r="A121" t="n">
        <v>120</v>
      </c>
      <c r="B121" s="14">
        <f>Variables!$B$24+(A121-1)*7</f>
        <v/>
      </c>
      <c r="C121" s="12">
        <f>P120</f>
        <v/>
      </c>
      <c r="D121" s="12">
        <f>Q120</f>
        <v/>
      </c>
      <c r="E121" s="12">
        <f>C121+IF(A121&gt;Variables!$B$25,D121,0)</f>
        <v/>
      </c>
      <c r="F121" s="12">
        <f>C121+D121</f>
        <v/>
      </c>
      <c r="G121" s="11">
        <f>IF(A121&gt;Variables!$B$22,Variables!$B$12,0)</f>
        <v/>
      </c>
      <c r="H121" s="11">
        <f>IF(AND(A121&gt;Variables!$B$22,Variables!$B$14="Yes"),Variables!$B$13,0)</f>
        <v/>
      </c>
      <c r="I121" s="11">
        <f>IF(AA121&gt;Variables!$B$18,0,IF(AA121&gt;Variables!$B$19,CEILING((AA121-Variables!$B$19)/Variables!$B$21,1)*Variables!$B$20,0))</f>
        <v/>
      </c>
      <c r="J121" s="11">
        <f>IF(AA121&lt;=Variables!$B$18,MIN(Variables!$B$9-Variables!$B$8+I121,Variables!$B$26),0)</f>
        <v/>
      </c>
      <c r="K121" s="11">
        <f>IF(AA121&lt;=Variables!$B$18,Variables!$B$27,0)</f>
        <v/>
      </c>
      <c r="L121" s="11">
        <f>IF(AA121&gt;Variables!$B$18,G121+H121,Variables!$B$26-J121)</f>
        <v/>
      </c>
      <c r="M121" s="11">
        <f>IF(AA121&gt;Variables!$B$18,Variables!$B$2-G121-H121,J121+K121)</f>
        <v/>
      </c>
      <c r="N121" s="11">
        <f>Variables!$B$9-AC121</f>
        <v/>
      </c>
      <c r="O121" s="12">
        <f>F121+N121</f>
        <v/>
      </c>
      <c r="P121" s="12">
        <f>MAX(0,C121+N121)</f>
        <v/>
      </c>
      <c r="Q121" s="12">
        <f>D121+MIN(0,C121+N121)</f>
        <v/>
      </c>
      <c r="R121">
        <f>IF(AA121&gt;Variables!$B$18,"Self-funder",IF(AA121&gt;Variables!$B$19,"Tariff band - council contributing","Council pays standard rate"))</f>
        <v/>
      </c>
      <c r="S121" s="12">
        <f>Variables!$B$18</f>
        <v/>
      </c>
      <c r="T121" s="12">
        <f>Variables!$B$19</f>
        <v/>
      </c>
      <c r="U121">
        <f>AA121&lt;=Variables!$B$18</f>
        <v/>
      </c>
      <c r="V121">
        <f>AA121&lt;=Variables!$B$19</f>
        <v/>
      </c>
      <c r="W121">
        <f>P121&lt;=0</f>
        <v/>
      </c>
      <c r="X121" s="12">
        <f>Variables!$B$28</f>
        <v/>
      </c>
      <c r="Y121">
        <f>AB121&lt;=Variables!$B$28</f>
        <v/>
      </c>
      <c r="Z121">
        <f>AB121&lt;=Variables!$B$18</f>
        <v/>
      </c>
      <c r="AA121" s="12">
        <f>AB120</f>
        <v/>
      </c>
      <c r="AB121" s="12">
        <f>AA121+Variables!$B$9-M121</f>
        <v/>
      </c>
      <c r="AC121" s="11">
        <f>IF(MOD(A121-1,Variables!$B$30)=0,Variables!$B$30*M121,0)</f>
        <v/>
      </c>
      <c r="AD121" s="12">
        <f>IF(A121=MATCH(TRUE,$Y$2:$Y$261,0),MAX($AB$2:$AB$261),IF(A121=MATCH(TRUE,$Y$2:$Y$261,0)-1,0,NA()))</f>
        <v/>
      </c>
      <c r="AE121" s="12">
        <f>IF(A121=MATCH(TRUE,$Z$2:$Z$261,0),MAX($AB$2:$AB$261),IF(A121=MATCH(TRUE,$Z$2:$Z$261,0)-1,0,NA()))</f>
        <v/>
      </c>
    </row>
    <row r="122">
      <c r="A122" t="n">
        <v>121</v>
      </c>
      <c r="B122" s="14">
        <f>Variables!$B$24+(A122-1)*7</f>
        <v/>
      </c>
      <c r="C122" s="12">
        <f>P121</f>
        <v/>
      </c>
      <c r="D122" s="12">
        <f>Q121</f>
        <v/>
      </c>
      <c r="E122" s="12">
        <f>C122+IF(A122&gt;Variables!$B$25,D122,0)</f>
        <v/>
      </c>
      <c r="F122" s="12">
        <f>C122+D122</f>
        <v/>
      </c>
      <c r="G122" s="11">
        <f>IF(A122&gt;Variables!$B$22,Variables!$B$12,0)</f>
        <v/>
      </c>
      <c r="H122" s="11">
        <f>IF(AND(A122&gt;Variables!$B$22,Variables!$B$14="Yes"),Variables!$B$13,0)</f>
        <v/>
      </c>
      <c r="I122" s="11">
        <f>IF(AA122&gt;Variables!$B$18,0,IF(AA122&gt;Variables!$B$19,CEILING((AA122-Variables!$B$19)/Variables!$B$21,1)*Variables!$B$20,0))</f>
        <v/>
      </c>
      <c r="J122" s="11">
        <f>IF(AA122&lt;=Variables!$B$18,MIN(Variables!$B$9-Variables!$B$8+I122,Variables!$B$26),0)</f>
        <v/>
      </c>
      <c r="K122" s="11">
        <f>IF(AA122&lt;=Variables!$B$18,Variables!$B$27,0)</f>
        <v/>
      </c>
      <c r="L122" s="11">
        <f>IF(AA122&gt;Variables!$B$18,G122+H122,Variables!$B$26-J122)</f>
        <v/>
      </c>
      <c r="M122" s="11">
        <f>IF(AA122&gt;Variables!$B$18,Variables!$B$2-G122-H122,J122+K122)</f>
        <v/>
      </c>
      <c r="N122" s="11">
        <f>Variables!$B$9-AC122</f>
        <v/>
      </c>
      <c r="O122" s="12">
        <f>F122+N122</f>
        <v/>
      </c>
      <c r="P122" s="12">
        <f>MAX(0,C122+N122)</f>
        <v/>
      </c>
      <c r="Q122" s="12">
        <f>D122+MIN(0,C122+N122)</f>
        <v/>
      </c>
      <c r="R122">
        <f>IF(AA122&gt;Variables!$B$18,"Self-funder",IF(AA122&gt;Variables!$B$19,"Tariff band - council contributing","Council pays standard rate"))</f>
        <v/>
      </c>
      <c r="S122" s="12">
        <f>Variables!$B$18</f>
        <v/>
      </c>
      <c r="T122" s="12">
        <f>Variables!$B$19</f>
        <v/>
      </c>
      <c r="U122">
        <f>AA122&lt;=Variables!$B$18</f>
        <v/>
      </c>
      <c r="V122">
        <f>AA122&lt;=Variables!$B$19</f>
        <v/>
      </c>
      <c r="W122">
        <f>P122&lt;=0</f>
        <v/>
      </c>
      <c r="X122" s="12">
        <f>Variables!$B$28</f>
        <v/>
      </c>
      <c r="Y122">
        <f>AB122&lt;=Variables!$B$28</f>
        <v/>
      </c>
      <c r="Z122">
        <f>AB122&lt;=Variables!$B$18</f>
        <v/>
      </c>
      <c r="AA122" s="12">
        <f>AB121</f>
        <v/>
      </c>
      <c r="AB122" s="12">
        <f>AA122+Variables!$B$9-M122</f>
        <v/>
      </c>
      <c r="AC122" s="11">
        <f>IF(MOD(A122-1,Variables!$B$30)=0,Variables!$B$30*M122,0)</f>
        <v/>
      </c>
      <c r="AD122" s="12">
        <f>IF(A122=MATCH(TRUE,$Y$2:$Y$261,0),MAX($AB$2:$AB$261),IF(A122=MATCH(TRUE,$Y$2:$Y$261,0)-1,0,NA()))</f>
        <v/>
      </c>
      <c r="AE122" s="12">
        <f>IF(A122=MATCH(TRUE,$Z$2:$Z$261,0),MAX($AB$2:$AB$261),IF(A122=MATCH(TRUE,$Z$2:$Z$261,0)-1,0,NA()))</f>
        <v/>
      </c>
    </row>
    <row r="123">
      <c r="A123" t="n">
        <v>122</v>
      </c>
      <c r="B123" s="14">
        <f>Variables!$B$24+(A123-1)*7</f>
        <v/>
      </c>
      <c r="C123" s="12">
        <f>P122</f>
        <v/>
      </c>
      <c r="D123" s="12">
        <f>Q122</f>
        <v/>
      </c>
      <c r="E123" s="12">
        <f>C123+IF(A123&gt;Variables!$B$25,D123,0)</f>
        <v/>
      </c>
      <c r="F123" s="12">
        <f>C123+D123</f>
        <v/>
      </c>
      <c r="G123" s="11">
        <f>IF(A123&gt;Variables!$B$22,Variables!$B$12,0)</f>
        <v/>
      </c>
      <c r="H123" s="11">
        <f>IF(AND(A123&gt;Variables!$B$22,Variables!$B$14="Yes"),Variables!$B$13,0)</f>
        <v/>
      </c>
      <c r="I123" s="11">
        <f>IF(AA123&gt;Variables!$B$18,0,IF(AA123&gt;Variables!$B$19,CEILING((AA123-Variables!$B$19)/Variables!$B$21,1)*Variables!$B$20,0))</f>
        <v/>
      </c>
      <c r="J123" s="11">
        <f>IF(AA123&lt;=Variables!$B$18,MIN(Variables!$B$9-Variables!$B$8+I123,Variables!$B$26),0)</f>
        <v/>
      </c>
      <c r="K123" s="11">
        <f>IF(AA123&lt;=Variables!$B$18,Variables!$B$27,0)</f>
        <v/>
      </c>
      <c r="L123" s="11">
        <f>IF(AA123&gt;Variables!$B$18,G123+H123,Variables!$B$26-J123)</f>
        <v/>
      </c>
      <c r="M123" s="11">
        <f>IF(AA123&gt;Variables!$B$18,Variables!$B$2-G123-H123,J123+K123)</f>
        <v/>
      </c>
      <c r="N123" s="11">
        <f>Variables!$B$9-AC123</f>
        <v/>
      </c>
      <c r="O123" s="12">
        <f>F123+N123</f>
        <v/>
      </c>
      <c r="P123" s="12">
        <f>MAX(0,C123+N123)</f>
        <v/>
      </c>
      <c r="Q123" s="12">
        <f>D123+MIN(0,C123+N123)</f>
        <v/>
      </c>
      <c r="R123">
        <f>IF(AA123&gt;Variables!$B$18,"Self-funder",IF(AA123&gt;Variables!$B$19,"Tariff band - council contributing","Council pays standard rate"))</f>
        <v/>
      </c>
      <c r="S123" s="12">
        <f>Variables!$B$18</f>
        <v/>
      </c>
      <c r="T123" s="12">
        <f>Variables!$B$19</f>
        <v/>
      </c>
      <c r="U123">
        <f>AA123&lt;=Variables!$B$18</f>
        <v/>
      </c>
      <c r="V123">
        <f>AA123&lt;=Variables!$B$19</f>
        <v/>
      </c>
      <c r="W123">
        <f>P123&lt;=0</f>
        <v/>
      </c>
      <c r="X123" s="12">
        <f>Variables!$B$28</f>
        <v/>
      </c>
      <c r="Y123">
        <f>AB123&lt;=Variables!$B$28</f>
        <v/>
      </c>
      <c r="Z123">
        <f>AB123&lt;=Variables!$B$18</f>
        <v/>
      </c>
      <c r="AA123" s="12">
        <f>AB122</f>
        <v/>
      </c>
      <c r="AB123" s="12">
        <f>AA123+Variables!$B$9-M123</f>
        <v/>
      </c>
      <c r="AC123" s="11">
        <f>IF(MOD(A123-1,Variables!$B$30)=0,Variables!$B$30*M123,0)</f>
        <v/>
      </c>
      <c r="AD123" s="12">
        <f>IF(A123=MATCH(TRUE,$Y$2:$Y$261,0),MAX($AB$2:$AB$261),IF(A123=MATCH(TRUE,$Y$2:$Y$261,0)-1,0,NA()))</f>
        <v/>
      </c>
      <c r="AE123" s="12">
        <f>IF(A123=MATCH(TRUE,$Z$2:$Z$261,0),MAX($AB$2:$AB$261),IF(A123=MATCH(TRUE,$Z$2:$Z$261,0)-1,0,NA()))</f>
        <v/>
      </c>
    </row>
    <row r="124">
      <c r="A124" t="n">
        <v>123</v>
      </c>
      <c r="B124" s="14">
        <f>Variables!$B$24+(A124-1)*7</f>
        <v/>
      </c>
      <c r="C124" s="12">
        <f>P123</f>
        <v/>
      </c>
      <c r="D124" s="12">
        <f>Q123</f>
        <v/>
      </c>
      <c r="E124" s="12">
        <f>C124+IF(A124&gt;Variables!$B$25,D124,0)</f>
        <v/>
      </c>
      <c r="F124" s="12">
        <f>C124+D124</f>
        <v/>
      </c>
      <c r="G124" s="11">
        <f>IF(A124&gt;Variables!$B$22,Variables!$B$12,0)</f>
        <v/>
      </c>
      <c r="H124" s="11">
        <f>IF(AND(A124&gt;Variables!$B$22,Variables!$B$14="Yes"),Variables!$B$13,0)</f>
        <v/>
      </c>
      <c r="I124" s="11">
        <f>IF(AA124&gt;Variables!$B$18,0,IF(AA124&gt;Variables!$B$19,CEILING((AA124-Variables!$B$19)/Variables!$B$21,1)*Variables!$B$20,0))</f>
        <v/>
      </c>
      <c r="J124" s="11">
        <f>IF(AA124&lt;=Variables!$B$18,MIN(Variables!$B$9-Variables!$B$8+I124,Variables!$B$26),0)</f>
        <v/>
      </c>
      <c r="K124" s="11">
        <f>IF(AA124&lt;=Variables!$B$18,Variables!$B$27,0)</f>
        <v/>
      </c>
      <c r="L124" s="11">
        <f>IF(AA124&gt;Variables!$B$18,G124+H124,Variables!$B$26-J124)</f>
        <v/>
      </c>
      <c r="M124" s="11">
        <f>IF(AA124&gt;Variables!$B$18,Variables!$B$2-G124-H124,J124+K124)</f>
        <v/>
      </c>
      <c r="N124" s="11">
        <f>Variables!$B$9-AC124</f>
        <v/>
      </c>
      <c r="O124" s="12">
        <f>F124+N124</f>
        <v/>
      </c>
      <c r="P124" s="12">
        <f>MAX(0,C124+N124)</f>
        <v/>
      </c>
      <c r="Q124" s="12">
        <f>D124+MIN(0,C124+N124)</f>
        <v/>
      </c>
      <c r="R124">
        <f>IF(AA124&gt;Variables!$B$18,"Self-funder",IF(AA124&gt;Variables!$B$19,"Tariff band - council contributing","Council pays standard rate"))</f>
        <v/>
      </c>
      <c r="S124" s="12">
        <f>Variables!$B$18</f>
        <v/>
      </c>
      <c r="T124" s="12">
        <f>Variables!$B$19</f>
        <v/>
      </c>
      <c r="U124">
        <f>AA124&lt;=Variables!$B$18</f>
        <v/>
      </c>
      <c r="V124">
        <f>AA124&lt;=Variables!$B$19</f>
        <v/>
      </c>
      <c r="W124">
        <f>P124&lt;=0</f>
        <v/>
      </c>
      <c r="X124" s="12">
        <f>Variables!$B$28</f>
        <v/>
      </c>
      <c r="Y124">
        <f>AB124&lt;=Variables!$B$28</f>
        <v/>
      </c>
      <c r="Z124">
        <f>AB124&lt;=Variables!$B$18</f>
        <v/>
      </c>
      <c r="AA124" s="12">
        <f>AB123</f>
        <v/>
      </c>
      <c r="AB124" s="12">
        <f>AA124+Variables!$B$9-M124</f>
        <v/>
      </c>
      <c r="AC124" s="11">
        <f>IF(MOD(A124-1,Variables!$B$30)=0,Variables!$B$30*M124,0)</f>
        <v/>
      </c>
      <c r="AD124" s="12">
        <f>IF(A124=MATCH(TRUE,$Y$2:$Y$261,0),MAX($AB$2:$AB$261),IF(A124=MATCH(TRUE,$Y$2:$Y$261,0)-1,0,NA()))</f>
        <v/>
      </c>
      <c r="AE124" s="12">
        <f>IF(A124=MATCH(TRUE,$Z$2:$Z$261,0),MAX($AB$2:$AB$261),IF(A124=MATCH(TRUE,$Z$2:$Z$261,0)-1,0,NA()))</f>
        <v/>
      </c>
    </row>
    <row r="125">
      <c r="A125" t="n">
        <v>124</v>
      </c>
      <c r="B125" s="14">
        <f>Variables!$B$24+(A125-1)*7</f>
        <v/>
      </c>
      <c r="C125" s="12">
        <f>P124</f>
        <v/>
      </c>
      <c r="D125" s="12">
        <f>Q124</f>
        <v/>
      </c>
      <c r="E125" s="12">
        <f>C125+IF(A125&gt;Variables!$B$25,D125,0)</f>
        <v/>
      </c>
      <c r="F125" s="12">
        <f>C125+D125</f>
        <v/>
      </c>
      <c r="G125" s="11">
        <f>IF(A125&gt;Variables!$B$22,Variables!$B$12,0)</f>
        <v/>
      </c>
      <c r="H125" s="11">
        <f>IF(AND(A125&gt;Variables!$B$22,Variables!$B$14="Yes"),Variables!$B$13,0)</f>
        <v/>
      </c>
      <c r="I125" s="11">
        <f>IF(AA125&gt;Variables!$B$18,0,IF(AA125&gt;Variables!$B$19,CEILING((AA125-Variables!$B$19)/Variables!$B$21,1)*Variables!$B$20,0))</f>
        <v/>
      </c>
      <c r="J125" s="11">
        <f>IF(AA125&lt;=Variables!$B$18,MIN(Variables!$B$9-Variables!$B$8+I125,Variables!$B$26),0)</f>
        <v/>
      </c>
      <c r="K125" s="11">
        <f>IF(AA125&lt;=Variables!$B$18,Variables!$B$27,0)</f>
        <v/>
      </c>
      <c r="L125" s="11">
        <f>IF(AA125&gt;Variables!$B$18,G125+H125,Variables!$B$26-J125)</f>
        <v/>
      </c>
      <c r="M125" s="11">
        <f>IF(AA125&gt;Variables!$B$18,Variables!$B$2-G125-H125,J125+K125)</f>
        <v/>
      </c>
      <c r="N125" s="11">
        <f>Variables!$B$9-AC125</f>
        <v/>
      </c>
      <c r="O125" s="12">
        <f>F125+N125</f>
        <v/>
      </c>
      <c r="P125" s="12">
        <f>MAX(0,C125+N125)</f>
        <v/>
      </c>
      <c r="Q125" s="12">
        <f>D125+MIN(0,C125+N125)</f>
        <v/>
      </c>
      <c r="R125">
        <f>IF(AA125&gt;Variables!$B$18,"Self-funder",IF(AA125&gt;Variables!$B$19,"Tariff band - council contributing","Council pays standard rate"))</f>
        <v/>
      </c>
      <c r="S125" s="12">
        <f>Variables!$B$18</f>
        <v/>
      </c>
      <c r="T125" s="12">
        <f>Variables!$B$19</f>
        <v/>
      </c>
      <c r="U125">
        <f>AA125&lt;=Variables!$B$18</f>
        <v/>
      </c>
      <c r="V125">
        <f>AA125&lt;=Variables!$B$19</f>
        <v/>
      </c>
      <c r="W125">
        <f>P125&lt;=0</f>
        <v/>
      </c>
      <c r="X125" s="12">
        <f>Variables!$B$28</f>
        <v/>
      </c>
      <c r="Y125">
        <f>AB125&lt;=Variables!$B$28</f>
        <v/>
      </c>
      <c r="Z125">
        <f>AB125&lt;=Variables!$B$18</f>
        <v/>
      </c>
      <c r="AA125" s="12">
        <f>AB124</f>
        <v/>
      </c>
      <c r="AB125" s="12">
        <f>AA125+Variables!$B$9-M125</f>
        <v/>
      </c>
      <c r="AC125" s="11">
        <f>IF(MOD(A125-1,Variables!$B$30)=0,Variables!$B$30*M125,0)</f>
        <v/>
      </c>
      <c r="AD125" s="12">
        <f>IF(A125=MATCH(TRUE,$Y$2:$Y$261,0),MAX($AB$2:$AB$261),IF(A125=MATCH(TRUE,$Y$2:$Y$261,0)-1,0,NA()))</f>
        <v/>
      </c>
      <c r="AE125" s="12">
        <f>IF(A125=MATCH(TRUE,$Z$2:$Z$261,0),MAX($AB$2:$AB$261),IF(A125=MATCH(TRUE,$Z$2:$Z$261,0)-1,0,NA()))</f>
        <v/>
      </c>
    </row>
    <row r="126">
      <c r="A126" t="n">
        <v>125</v>
      </c>
      <c r="B126" s="14">
        <f>Variables!$B$24+(A126-1)*7</f>
        <v/>
      </c>
      <c r="C126" s="12">
        <f>P125</f>
        <v/>
      </c>
      <c r="D126" s="12">
        <f>Q125</f>
        <v/>
      </c>
      <c r="E126" s="12">
        <f>C126+IF(A126&gt;Variables!$B$25,D126,0)</f>
        <v/>
      </c>
      <c r="F126" s="12">
        <f>C126+D126</f>
        <v/>
      </c>
      <c r="G126" s="11">
        <f>IF(A126&gt;Variables!$B$22,Variables!$B$12,0)</f>
        <v/>
      </c>
      <c r="H126" s="11">
        <f>IF(AND(A126&gt;Variables!$B$22,Variables!$B$14="Yes"),Variables!$B$13,0)</f>
        <v/>
      </c>
      <c r="I126" s="11">
        <f>IF(AA126&gt;Variables!$B$18,0,IF(AA126&gt;Variables!$B$19,CEILING((AA126-Variables!$B$19)/Variables!$B$21,1)*Variables!$B$20,0))</f>
        <v/>
      </c>
      <c r="J126" s="11">
        <f>IF(AA126&lt;=Variables!$B$18,MIN(Variables!$B$9-Variables!$B$8+I126,Variables!$B$26),0)</f>
        <v/>
      </c>
      <c r="K126" s="11">
        <f>IF(AA126&lt;=Variables!$B$18,Variables!$B$27,0)</f>
        <v/>
      </c>
      <c r="L126" s="11">
        <f>IF(AA126&gt;Variables!$B$18,G126+H126,Variables!$B$26-J126)</f>
        <v/>
      </c>
      <c r="M126" s="11">
        <f>IF(AA126&gt;Variables!$B$18,Variables!$B$2-G126-H126,J126+K126)</f>
        <v/>
      </c>
      <c r="N126" s="11">
        <f>Variables!$B$9-AC126</f>
        <v/>
      </c>
      <c r="O126" s="12">
        <f>F126+N126</f>
        <v/>
      </c>
      <c r="P126" s="12">
        <f>MAX(0,C126+N126)</f>
        <v/>
      </c>
      <c r="Q126" s="12">
        <f>D126+MIN(0,C126+N126)</f>
        <v/>
      </c>
      <c r="R126">
        <f>IF(AA126&gt;Variables!$B$18,"Self-funder",IF(AA126&gt;Variables!$B$19,"Tariff band - council contributing","Council pays standard rate"))</f>
        <v/>
      </c>
      <c r="S126" s="12">
        <f>Variables!$B$18</f>
        <v/>
      </c>
      <c r="T126" s="12">
        <f>Variables!$B$19</f>
        <v/>
      </c>
      <c r="U126">
        <f>AA126&lt;=Variables!$B$18</f>
        <v/>
      </c>
      <c r="V126">
        <f>AA126&lt;=Variables!$B$19</f>
        <v/>
      </c>
      <c r="W126">
        <f>P126&lt;=0</f>
        <v/>
      </c>
      <c r="X126" s="12">
        <f>Variables!$B$28</f>
        <v/>
      </c>
      <c r="Y126">
        <f>AB126&lt;=Variables!$B$28</f>
        <v/>
      </c>
      <c r="Z126">
        <f>AB126&lt;=Variables!$B$18</f>
        <v/>
      </c>
      <c r="AA126" s="12">
        <f>AB125</f>
        <v/>
      </c>
      <c r="AB126" s="12">
        <f>AA126+Variables!$B$9-M126</f>
        <v/>
      </c>
      <c r="AC126" s="11">
        <f>IF(MOD(A126-1,Variables!$B$30)=0,Variables!$B$30*M126,0)</f>
        <v/>
      </c>
      <c r="AD126" s="12">
        <f>IF(A126=MATCH(TRUE,$Y$2:$Y$261,0),MAX($AB$2:$AB$261),IF(A126=MATCH(TRUE,$Y$2:$Y$261,0)-1,0,NA()))</f>
        <v/>
      </c>
      <c r="AE126" s="12">
        <f>IF(A126=MATCH(TRUE,$Z$2:$Z$261,0),MAX($AB$2:$AB$261),IF(A126=MATCH(TRUE,$Z$2:$Z$261,0)-1,0,NA()))</f>
        <v/>
      </c>
    </row>
    <row r="127">
      <c r="A127" t="n">
        <v>126</v>
      </c>
      <c r="B127" s="14">
        <f>Variables!$B$24+(A127-1)*7</f>
        <v/>
      </c>
      <c r="C127" s="12">
        <f>P126</f>
        <v/>
      </c>
      <c r="D127" s="12">
        <f>Q126</f>
        <v/>
      </c>
      <c r="E127" s="12">
        <f>C127+IF(A127&gt;Variables!$B$25,D127,0)</f>
        <v/>
      </c>
      <c r="F127" s="12">
        <f>C127+D127</f>
        <v/>
      </c>
      <c r="G127" s="11">
        <f>IF(A127&gt;Variables!$B$22,Variables!$B$12,0)</f>
        <v/>
      </c>
      <c r="H127" s="11">
        <f>IF(AND(A127&gt;Variables!$B$22,Variables!$B$14="Yes"),Variables!$B$13,0)</f>
        <v/>
      </c>
      <c r="I127" s="11">
        <f>IF(AA127&gt;Variables!$B$18,0,IF(AA127&gt;Variables!$B$19,CEILING((AA127-Variables!$B$19)/Variables!$B$21,1)*Variables!$B$20,0))</f>
        <v/>
      </c>
      <c r="J127" s="11">
        <f>IF(AA127&lt;=Variables!$B$18,MIN(Variables!$B$9-Variables!$B$8+I127,Variables!$B$26),0)</f>
        <v/>
      </c>
      <c r="K127" s="11">
        <f>IF(AA127&lt;=Variables!$B$18,Variables!$B$27,0)</f>
        <v/>
      </c>
      <c r="L127" s="11">
        <f>IF(AA127&gt;Variables!$B$18,G127+H127,Variables!$B$26-J127)</f>
        <v/>
      </c>
      <c r="M127" s="11">
        <f>IF(AA127&gt;Variables!$B$18,Variables!$B$2-G127-H127,J127+K127)</f>
        <v/>
      </c>
      <c r="N127" s="11">
        <f>Variables!$B$9-AC127</f>
        <v/>
      </c>
      <c r="O127" s="12">
        <f>F127+N127</f>
        <v/>
      </c>
      <c r="P127" s="12">
        <f>MAX(0,C127+N127)</f>
        <v/>
      </c>
      <c r="Q127" s="12">
        <f>D127+MIN(0,C127+N127)</f>
        <v/>
      </c>
      <c r="R127">
        <f>IF(AA127&gt;Variables!$B$18,"Self-funder",IF(AA127&gt;Variables!$B$19,"Tariff band - council contributing","Council pays standard rate"))</f>
        <v/>
      </c>
      <c r="S127" s="12">
        <f>Variables!$B$18</f>
        <v/>
      </c>
      <c r="T127" s="12">
        <f>Variables!$B$19</f>
        <v/>
      </c>
      <c r="U127">
        <f>AA127&lt;=Variables!$B$18</f>
        <v/>
      </c>
      <c r="V127">
        <f>AA127&lt;=Variables!$B$19</f>
        <v/>
      </c>
      <c r="W127">
        <f>P127&lt;=0</f>
        <v/>
      </c>
      <c r="X127" s="12">
        <f>Variables!$B$28</f>
        <v/>
      </c>
      <c r="Y127">
        <f>AB127&lt;=Variables!$B$28</f>
        <v/>
      </c>
      <c r="Z127">
        <f>AB127&lt;=Variables!$B$18</f>
        <v/>
      </c>
      <c r="AA127" s="12">
        <f>AB126</f>
        <v/>
      </c>
      <c r="AB127" s="12">
        <f>AA127+Variables!$B$9-M127</f>
        <v/>
      </c>
      <c r="AC127" s="11">
        <f>IF(MOD(A127-1,Variables!$B$30)=0,Variables!$B$30*M127,0)</f>
        <v/>
      </c>
      <c r="AD127" s="12">
        <f>IF(A127=MATCH(TRUE,$Y$2:$Y$261,0),MAX($AB$2:$AB$261),IF(A127=MATCH(TRUE,$Y$2:$Y$261,0)-1,0,NA()))</f>
        <v/>
      </c>
      <c r="AE127" s="12">
        <f>IF(A127=MATCH(TRUE,$Z$2:$Z$261,0),MAX($AB$2:$AB$261),IF(A127=MATCH(TRUE,$Z$2:$Z$261,0)-1,0,NA()))</f>
        <v/>
      </c>
    </row>
    <row r="128">
      <c r="A128" t="n">
        <v>127</v>
      </c>
      <c r="B128" s="14">
        <f>Variables!$B$24+(A128-1)*7</f>
        <v/>
      </c>
      <c r="C128" s="12">
        <f>P127</f>
        <v/>
      </c>
      <c r="D128" s="12">
        <f>Q127</f>
        <v/>
      </c>
      <c r="E128" s="12">
        <f>C128+IF(A128&gt;Variables!$B$25,D128,0)</f>
        <v/>
      </c>
      <c r="F128" s="12">
        <f>C128+D128</f>
        <v/>
      </c>
      <c r="G128" s="11">
        <f>IF(A128&gt;Variables!$B$22,Variables!$B$12,0)</f>
        <v/>
      </c>
      <c r="H128" s="11">
        <f>IF(AND(A128&gt;Variables!$B$22,Variables!$B$14="Yes"),Variables!$B$13,0)</f>
        <v/>
      </c>
      <c r="I128" s="11">
        <f>IF(AA128&gt;Variables!$B$18,0,IF(AA128&gt;Variables!$B$19,CEILING((AA128-Variables!$B$19)/Variables!$B$21,1)*Variables!$B$20,0))</f>
        <v/>
      </c>
      <c r="J128" s="11">
        <f>IF(AA128&lt;=Variables!$B$18,MIN(Variables!$B$9-Variables!$B$8+I128,Variables!$B$26),0)</f>
        <v/>
      </c>
      <c r="K128" s="11">
        <f>IF(AA128&lt;=Variables!$B$18,Variables!$B$27,0)</f>
        <v/>
      </c>
      <c r="L128" s="11">
        <f>IF(AA128&gt;Variables!$B$18,G128+H128,Variables!$B$26-J128)</f>
        <v/>
      </c>
      <c r="M128" s="11">
        <f>IF(AA128&gt;Variables!$B$18,Variables!$B$2-G128-H128,J128+K128)</f>
        <v/>
      </c>
      <c r="N128" s="11">
        <f>Variables!$B$9-AC128</f>
        <v/>
      </c>
      <c r="O128" s="12">
        <f>F128+N128</f>
        <v/>
      </c>
      <c r="P128" s="12">
        <f>MAX(0,C128+N128)</f>
        <v/>
      </c>
      <c r="Q128" s="12">
        <f>D128+MIN(0,C128+N128)</f>
        <v/>
      </c>
      <c r="R128">
        <f>IF(AA128&gt;Variables!$B$18,"Self-funder",IF(AA128&gt;Variables!$B$19,"Tariff band - council contributing","Council pays standard rate"))</f>
        <v/>
      </c>
      <c r="S128" s="12">
        <f>Variables!$B$18</f>
        <v/>
      </c>
      <c r="T128" s="12">
        <f>Variables!$B$19</f>
        <v/>
      </c>
      <c r="U128">
        <f>AA128&lt;=Variables!$B$18</f>
        <v/>
      </c>
      <c r="V128">
        <f>AA128&lt;=Variables!$B$19</f>
        <v/>
      </c>
      <c r="W128">
        <f>P128&lt;=0</f>
        <v/>
      </c>
      <c r="X128" s="12">
        <f>Variables!$B$28</f>
        <v/>
      </c>
      <c r="Y128">
        <f>AB128&lt;=Variables!$B$28</f>
        <v/>
      </c>
      <c r="Z128">
        <f>AB128&lt;=Variables!$B$18</f>
        <v/>
      </c>
      <c r="AA128" s="12">
        <f>AB127</f>
        <v/>
      </c>
      <c r="AB128" s="12">
        <f>AA128+Variables!$B$9-M128</f>
        <v/>
      </c>
      <c r="AC128" s="11">
        <f>IF(MOD(A128-1,Variables!$B$30)=0,Variables!$B$30*M128,0)</f>
        <v/>
      </c>
      <c r="AD128" s="12">
        <f>IF(A128=MATCH(TRUE,$Y$2:$Y$261,0),MAX($AB$2:$AB$261),IF(A128=MATCH(TRUE,$Y$2:$Y$261,0)-1,0,NA()))</f>
        <v/>
      </c>
      <c r="AE128" s="12">
        <f>IF(A128=MATCH(TRUE,$Z$2:$Z$261,0),MAX($AB$2:$AB$261),IF(A128=MATCH(TRUE,$Z$2:$Z$261,0)-1,0,NA()))</f>
        <v/>
      </c>
    </row>
    <row r="129">
      <c r="A129" t="n">
        <v>128</v>
      </c>
      <c r="B129" s="14">
        <f>Variables!$B$24+(A129-1)*7</f>
        <v/>
      </c>
      <c r="C129" s="12">
        <f>P128</f>
        <v/>
      </c>
      <c r="D129" s="12">
        <f>Q128</f>
        <v/>
      </c>
      <c r="E129" s="12">
        <f>C129+IF(A129&gt;Variables!$B$25,D129,0)</f>
        <v/>
      </c>
      <c r="F129" s="12">
        <f>C129+D129</f>
        <v/>
      </c>
      <c r="G129" s="11">
        <f>IF(A129&gt;Variables!$B$22,Variables!$B$12,0)</f>
        <v/>
      </c>
      <c r="H129" s="11">
        <f>IF(AND(A129&gt;Variables!$B$22,Variables!$B$14="Yes"),Variables!$B$13,0)</f>
        <v/>
      </c>
      <c r="I129" s="11">
        <f>IF(AA129&gt;Variables!$B$18,0,IF(AA129&gt;Variables!$B$19,CEILING((AA129-Variables!$B$19)/Variables!$B$21,1)*Variables!$B$20,0))</f>
        <v/>
      </c>
      <c r="J129" s="11">
        <f>IF(AA129&lt;=Variables!$B$18,MIN(Variables!$B$9-Variables!$B$8+I129,Variables!$B$26),0)</f>
        <v/>
      </c>
      <c r="K129" s="11">
        <f>IF(AA129&lt;=Variables!$B$18,Variables!$B$27,0)</f>
        <v/>
      </c>
      <c r="L129" s="11">
        <f>IF(AA129&gt;Variables!$B$18,G129+H129,Variables!$B$26-J129)</f>
        <v/>
      </c>
      <c r="M129" s="11">
        <f>IF(AA129&gt;Variables!$B$18,Variables!$B$2-G129-H129,J129+K129)</f>
        <v/>
      </c>
      <c r="N129" s="11">
        <f>Variables!$B$9-AC129</f>
        <v/>
      </c>
      <c r="O129" s="12">
        <f>F129+N129</f>
        <v/>
      </c>
      <c r="P129" s="12">
        <f>MAX(0,C129+N129)</f>
        <v/>
      </c>
      <c r="Q129" s="12">
        <f>D129+MIN(0,C129+N129)</f>
        <v/>
      </c>
      <c r="R129">
        <f>IF(AA129&gt;Variables!$B$18,"Self-funder",IF(AA129&gt;Variables!$B$19,"Tariff band - council contributing","Council pays standard rate"))</f>
        <v/>
      </c>
      <c r="S129" s="12">
        <f>Variables!$B$18</f>
        <v/>
      </c>
      <c r="T129" s="12">
        <f>Variables!$B$19</f>
        <v/>
      </c>
      <c r="U129">
        <f>AA129&lt;=Variables!$B$18</f>
        <v/>
      </c>
      <c r="V129">
        <f>AA129&lt;=Variables!$B$19</f>
        <v/>
      </c>
      <c r="W129">
        <f>P129&lt;=0</f>
        <v/>
      </c>
      <c r="X129" s="12">
        <f>Variables!$B$28</f>
        <v/>
      </c>
      <c r="Y129">
        <f>AB129&lt;=Variables!$B$28</f>
        <v/>
      </c>
      <c r="Z129">
        <f>AB129&lt;=Variables!$B$18</f>
        <v/>
      </c>
      <c r="AA129" s="12">
        <f>AB128</f>
        <v/>
      </c>
      <c r="AB129" s="12">
        <f>AA129+Variables!$B$9-M129</f>
        <v/>
      </c>
      <c r="AC129" s="11">
        <f>IF(MOD(A129-1,Variables!$B$30)=0,Variables!$B$30*M129,0)</f>
        <v/>
      </c>
      <c r="AD129" s="12">
        <f>IF(A129=MATCH(TRUE,$Y$2:$Y$261,0),MAX($AB$2:$AB$261),IF(A129=MATCH(TRUE,$Y$2:$Y$261,0)-1,0,NA()))</f>
        <v/>
      </c>
      <c r="AE129" s="12">
        <f>IF(A129=MATCH(TRUE,$Z$2:$Z$261,0),MAX($AB$2:$AB$261),IF(A129=MATCH(TRUE,$Z$2:$Z$261,0)-1,0,NA()))</f>
        <v/>
      </c>
    </row>
    <row r="130">
      <c r="A130" t="n">
        <v>129</v>
      </c>
      <c r="B130" s="14">
        <f>Variables!$B$24+(A130-1)*7</f>
        <v/>
      </c>
      <c r="C130" s="12">
        <f>P129</f>
        <v/>
      </c>
      <c r="D130" s="12">
        <f>Q129</f>
        <v/>
      </c>
      <c r="E130" s="12">
        <f>C130+IF(A130&gt;Variables!$B$25,D130,0)</f>
        <v/>
      </c>
      <c r="F130" s="12">
        <f>C130+D130</f>
        <v/>
      </c>
      <c r="G130" s="11">
        <f>IF(A130&gt;Variables!$B$22,Variables!$B$12,0)</f>
        <v/>
      </c>
      <c r="H130" s="11">
        <f>IF(AND(A130&gt;Variables!$B$22,Variables!$B$14="Yes"),Variables!$B$13,0)</f>
        <v/>
      </c>
      <c r="I130" s="11">
        <f>IF(AA130&gt;Variables!$B$18,0,IF(AA130&gt;Variables!$B$19,CEILING((AA130-Variables!$B$19)/Variables!$B$21,1)*Variables!$B$20,0))</f>
        <v/>
      </c>
      <c r="J130" s="11">
        <f>IF(AA130&lt;=Variables!$B$18,MIN(Variables!$B$9-Variables!$B$8+I130,Variables!$B$26),0)</f>
        <v/>
      </c>
      <c r="K130" s="11">
        <f>IF(AA130&lt;=Variables!$B$18,Variables!$B$27,0)</f>
        <v/>
      </c>
      <c r="L130" s="11">
        <f>IF(AA130&gt;Variables!$B$18,G130+H130,Variables!$B$26-J130)</f>
        <v/>
      </c>
      <c r="M130" s="11">
        <f>IF(AA130&gt;Variables!$B$18,Variables!$B$2-G130-H130,J130+K130)</f>
        <v/>
      </c>
      <c r="N130" s="11">
        <f>Variables!$B$9-AC130</f>
        <v/>
      </c>
      <c r="O130" s="12">
        <f>F130+N130</f>
        <v/>
      </c>
      <c r="P130" s="12">
        <f>MAX(0,C130+N130)</f>
        <v/>
      </c>
      <c r="Q130" s="12">
        <f>D130+MIN(0,C130+N130)</f>
        <v/>
      </c>
      <c r="R130">
        <f>IF(AA130&gt;Variables!$B$18,"Self-funder",IF(AA130&gt;Variables!$B$19,"Tariff band - council contributing","Council pays standard rate"))</f>
        <v/>
      </c>
      <c r="S130" s="12">
        <f>Variables!$B$18</f>
        <v/>
      </c>
      <c r="T130" s="12">
        <f>Variables!$B$19</f>
        <v/>
      </c>
      <c r="U130">
        <f>AA130&lt;=Variables!$B$18</f>
        <v/>
      </c>
      <c r="V130">
        <f>AA130&lt;=Variables!$B$19</f>
        <v/>
      </c>
      <c r="W130">
        <f>P130&lt;=0</f>
        <v/>
      </c>
      <c r="X130" s="12">
        <f>Variables!$B$28</f>
        <v/>
      </c>
      <c r="Y130">
        <f>AB130&lt;=Variables!$B$28</f>
        <v/>
      </c>
      <c r="Z130">
        <f>AB130&lt;=Variables!$B$18</f>
        <v/>
      </c>
      <c r="AA130" s="12">
        <f>AB129</f>
        <v/>
      </c>
      <c r="AB130" s="12">
        <f>AA130+Variables!$B$9-M130</f>
        <v/>
      </c>
      <c r="AC130" s="11">
        <f>IF(MOD(A130-1,Variables!$B$30)=0,Variables!$B$30*M130,0)</f>
        <v/>
      </c>
      <c r="AD130" s="12">
        <f>IF(A130=MATCH(TRUE,$Y$2:$Y$261,0),MAX($AB$2:$AB$261),IF(A130=MATCH(TRUE,$Y$2:$Y$261,0)-1,0,NA()))</f>
        <v/>
      </c>
      <c r="AE130" s="12">
        <f>IF(A130=MATCH(TRUE,$Z$2:$Z$261,0),MAX($AB$2:$AB$261),IF(A130=MATCH(TRUE,$Z$2:$Z$261,0)-1,0,NA()))</f>
        <v/>
      </c>
    </row>
    <row r="131">
      <c r="A131" t="n">
        <v>130</v>
      </c>
      <c r="B131" s="14">
        <f>Variables!$B$24+(A131-1)*7</f>
        <v/>
      </c>
      <c r="C131" s="12">
        <f>P130</f>
        <v/>
      </c>
      <c r="D131" s="12">
        <f>Q130</f>
        <v/>
      </c>
      <c r="E131" s="12">
        <f>C131+IF(A131&gt;Variables!$B$25,D131,0)</f>
        <v/>
      </c>
      <c r="F131" s="12">
        <f>C131+D131</f>
        <v/>
      </c>
      <c r="G131" s="11">
        <f>IF(A131&gt;Variables!$B$22,Variables!$B$12,0)</f>
        <v/>
      </c>
      <c r="H131" s="11">
        <f>IF(AND(A131&gt;Variables!$B$22,Variables!$B$14="Yes"),Variables!$B$13,0)</f>
        <v/>
      </c>
      <c r="I131" s="11">
        <f>IF(AA131&gt;Variables!$B$18,0,IF(AA131&gt;Variables!$B$19,CEILING((AA131-Variables!$B$19)/Variables!$B$21,1)*Variables!$B$20,0))</f>
        <v/>
      </c>
      <c r="J131" s="11">
        <f>IF(AA131&lt;=Variables!$B$18,MIN(Variables!$B$9-Variables!$B$8+I131,Variables!$B$26),0)</f>
        <v/>
      </c>
      <c r="K131" s="11">
        <f>IF(AA131&lt;=Variables!$B$18,Variables!$B$27,0)</f>
        <v/>
      </c>
      <c r="L131" s="11">
        <f>IF(AA131&gt;Variables!$B$18,G131+H131,Variables!$B$26-J131)</f>
        <v/>
      </c>
      <c r="M131" s="11">
        <f>IF(AA131&gt;Variables!$B$18,Variables!$B$2-G131-H131,J131+K131)</f>
        <v/>
      </c>
      <c r="N131" s="11">
        <f>Variables!$B$9-AC131</f>
        <v/>
      </c>
      <c r="O131" s="12">
        <f>F131+N131</f>
        <v/>
      </c>
      <c r="P131" s="12">
        <f>MAX(0,C131+N131)</f>
        <v/>
      </c>
      <c r="Q131" s="12">
        <f>D131+MIN(0,C131+N131)</f>
        <v/>
      </c>
      <c r="R131">
        <f>IF(AA131&gt;Variables!$B$18,"Self-funder",IF(AA131&gt;Variables!$B$19,"Tariff band - council contributing","Council pays standard rate"))</f>
        <v/>
      </c>
      <c r="S131" s="12">
        <f>Variables!$B$18</f>
        <v/>
      </c>
      <c r="T131" s="12">
        <f>Variables!$B$19</f>
        <v/>
      </c>
      <c r="U131">
        <f>AA131&lt;=Variables!$B$18</f>
        <v/>
      </c>
      <c r="V131">
        <f>AA131&lt;=Variables!$B$19</f>
        <v/>
      </c>
      <c r="W131">
        <f>P131&lt;=0</f>
        <v/>
      </c>
      <c r="X131" s="12">
        <f>Variables!$B$28</f>
        <v/>
      </c>
      <c r="Y131">
        <f>AB131&lt;=Variables!$B$28</f>
        <v/>
      </c>
      <c r="Z131">
        <f>AB131&lt;=Variables!$B$18</f>
        <v/>
      </c>
      <c r="AA131" s="12">
        <f>AB130</f>
        <v/>
      </c>
      <c r="AB131" s="12">
        <f>AA131+Variables!$B$9-M131</f>
        <v/>
      </c>
      <c r="AC131" s="11">
        <f>IF(MOD(A131-1,Variables!$B$30)=0,Variables!$B$30*M131,0)</f>
        <v/>
      </c>
      <c r="AD131" s="12">
        <f>IF(A131=MATCH(TRUE,$Y$2:$Y$261,0),MAX($AB$2:$AB$261),IF(A131=MATCH(TRUE,$Y$2:$Y$261,0)-1,0,NA()))</f>
        <v/>
      </c>
      <c r="AE131" s="12">
        <f>IF(A131=MATCH(TRUE,$Z$2:$Z$261,0),MAX($AB$2:$AB$261),IF(A131=MATCH(TRUE,$Z$2:$Z$261,0)-1,0,NA()))</f>
        <v/>
      </c>
    </row>
    <row r="132">
      <c r="A132" t="n">
        <v>131</v>
      </c>
      <c r="B132" s="14">
        <f>Variables!$B$24+(A132-1)*7</f>
        <v/>
      </c>
      <c r="C132" s="12">
        <f>P131</f>
        <v/>
      </c>
      <c r="D132" s="12">
        <f>Q131</f>
        <v/>
      </c>
      <c r="E132" s="12">
        <f>C132+IF(A132&gt;Variables!$B$25,D132,0)</f>
        <v/>
      </c>
      <c r="F132" s="12">
        <f>C132+D132</f>
        <v/>
      </c>
      <c r="G132" s="11">
        <f>IF(A132&gt;Variables!$B$22,Variables!$B$12,0)</f>
        <v/>
      </c>
      <c r="H132" s="11">
        <f>IF(AND(A132&gt;Variables!$B$22,Variables!$B$14="Yes"),Variables!$B$13,0)</f>
        <v/>
      </c>
      <c r="I132" s="11">
        <f>IF(AA132&gt;Variables!$B$18,0,IF(AA132&gt;Variables!$B$19,CEILING((AA132-Variables!$B$19)/Variables!$B$21,1)*Variables!$B$20,0))</f>
        <v/>
      </c>
      <c r="J132" s="11">
        <f>IF(AA132&lt;=Variables!$B$18,MIN(Variables!$B$9-Variables!$B$8+I132,Variables!$B$26),0)</f>
        <v/>
      </c>
      <c r="K132" s="11">
        <f>IF(AA132&lt;=Variables!$B$18,Variables!$B$27,0)</f>
        <v/>
      </c>
      <c r="L132" s="11">
        <f>IF(AA132&gt;Variables!$B$18,G132+H132,Variables!$B$26-J132)</f>
        <v/>
      </c>
      <c r="M132" s="11">
        <f>IF(AA132&gt;Variables!$B$18,Variables!$B$2-G132-H132,J132+K132)</f>
        <v/>
      </c>
      <c r="N132" s="11">
        <f>Variables!$B$9-AC132</f>
        <v/>
      </c>
      <c r="O132" s="12">
        <f>F132+N132</f>
        <v/>
      </c>
      <c r="P132" s="12">
        <f>MAX(0,C132+N132)</f>
        <v/>
      </c>
      <c r="Q132" s="12">
        <f>D132+MIN(0,C132+N132)</f>
        <v/>
      </c>
      <c r="R132">
        <f>IF(AA132&gt;Variables!$B$18,"Self-funder",IF(AA132&gt;Variables!$B$19,"Tariff band - council contributing","Council pays standard rate"))</f>
        <v/>
      </c>
      <c r="S132" s="12">
        <f>Variables!$B$18</f>
        <v/>
      </c>
      <c r="T132" s="12">
        <f>Variables!$B$19</f>
        <v/>
      </c>
      <c r="U132">
        <f>AA132&lt;=Variables!$B$18</f>
        <v/>
      </c>
      <c r="V132">
        <f>AA132&lt;=Variables!$B$19</f>
        <v/>
      </c>
      <c r="W132">
        <f>P132&lt;=0</f>
        <v/>
      </c>
      <c r="X132" s="12">
        <f>Variables!$B$28</f>
        <v/>
      </c>
      <c r="Y132">
        <f>AB132&lt;=Variables!$B$28</f>
        <v/>
      </c>
      <c r="Z132">
        <f>AB132&lt;=Variables!$B$18</f>
        <v/>
      </c>
      <c r="AA132" s="12">
        <f>AB131</f>
        <v/>
      </c>
      <c r="AB132" s="12">
        <f>AA132+Variables!$B$9-M132</f>
        <v/>
      </c>
      <c r="AC132" s="11">
        <f>IF(MOD(A132-1,Variables!$B$30)=0,Variables!$B$30*M132,0)</f>
        <v/>
      </c>
      <c r="AD132" s="12">
        <f>IF(A132=MATCH(TRUE,$Y$2:$Y$261,0),MAX($AB$2:$AB$261),IF(A132=MATCH(TRUE,$Y$2:$Y$261,0)-1,0,NA()))</f>
        <v/>
      </c>
      <c r="AE132" s="12">
        <f>IF(A132=MATCH(TRUE,$Z$2:$Z$261,0),MAX($AB$2:$AB$261),IF(A132=MATCH(TRUE,$Z$2:$Z$261,0)-1,0,NA()))</f>
        <v/>
      </c>
    </row>
    <row r="133">
      <c r="A133" t="n">
        <v>132</v>
      </c>
      <c r="B133" s="14">
        <f>Variables!$B$24+(A133-1)*7</f>
        <v/>
      </c>
      <c r="C133" s="12">
        <f>P132</f>
        <v/>
      </c>
      <c r="D133" s="12">
        <f>Q132</f>
        <v/>
      </c>
      <c r="E133" s="12">
        <f>C133+IF(A133&gt;Variables!$B$25,D133,0)</f>
        <v/>
      </c>
      <c r="F133" s="12">
        <f>C133+D133</f>
        <v/>
      </c>
      <c r="G133" s="11">
        <f>IF(A133&gt;Variables!$B$22,Variables!$B$12,0)</f>
        <v/>
      </c>
      <c r="H133" s="11">
        <f>IF(AND(A133&gt;Variables!$B$22,Variables!$B$14="Yes"),Variables!$B$13,0)</f>
        <v/>
      </c>
      <c r="I133" s="11">
        <f>IF(AA133&gt;Variables!$B$18,0,IF(AA133&gt;Variables!$B$19,CEILING((AA133-Variables!$B$19)/Variables!$B$21,1)*Variables!$B$20,0))</f>
        <v/>
      </c>
      <c r="J133" s="11">
        <f>IF(AA133&lt;=Variables!$B$18,MIN(Variables!$B$9-Variables!$B$8+I133,Variables!$B$26),0)</f>
        <v/>
      </c>
      <c r="K133" s="11">
        <f>IF(AA133&lt;=Variables!$B$18,Variables!$B$27,0)</f>
        <v/>
      </c>
      <c r="L133" s="11">
        <f>IF(AA133&gt;Variables!$B$18,G133+H133,Variables!$B$26-J133)</f>
        <v/>
      </c>
      <c r="M133" s="11">
        <f>IF(AA133&gt;Variables!$B$18,Variables!$B$2-G133-H133,J133+K133)</f>
        <v/>
      </c>
      <c r="N133" s="11">
        <f>Variables!$B$9-AC133</f>
        <v/>
      </c>
      <c r="O133" s="12">
        <f>F133+N133</f>
        <v/>
      </c>
      <c r="P133" s="12">
        <f>MAX(0,C133+N133)</f>
        <v/>
      </c>
      <c r="Q133" s="12">
        <f>D133+MIN(0,C133+N133)</f>
        <v/>
      </c>
      <c r="R133">
        <f>IF(AA133&gt;Variables!$B$18,"Self-funder",IF(AA133&gt;Variables!$B$19,"Tariff band - council contributing","Council pays standard rate"))</f>
        <v/>
      </c>
      <c r="S133" s="12">
        <f>Variables!$B$18</f>
        <v/>
      </c>
      <c r="T133" s="12">
        <f>Variables!$B$19</f>
        <v/>
      </c>
      <c r="U133">
        <f>AA133&lt;=Variables!$B$18</f>
        <v/>
      </c>
      <c r="V133">
        <f>AA133&lt;=Variables!$B$19</f>
        <v/>
      </c>
      <c r="W133">
        <f>P133&lt;=0</f>
        <v/>
      </c>
      <c r="X133" s="12">
        <f>Variables!$B$28</f>
        <v/>
      </c>
      <c r="Y133">
        <f>AB133&lt;=Variables!$B$28</f>
        <v/>
      </c>
      <c r="Z133">
        <f>AB133&lt;=Variables!$B$18</f>
        <v/>
      </c>
      <c r="AA133" s="12">
        <f>AB132</f>
        <v/>
      </c>
      <c r="AB133" s="12">
        <f>AA133+Variables!$B$9-M133</f>
        <v/>
      </c>
      <c r="AC133" s="11">
        <f>IF(MOD(A133-1,Variables!$B$30)=0,Variables!$B$30*M133,0)</f>
        <v/>
      </c>
      <c r="AD133" s="12">
        <f>IF(A133=MATCH(TRUE,$Y$2:$Y$261,0),MAX($AB$2:$AB$261),IF(A133=MATCH(TRUE,$Y$2:$Y$261,0)-1,0,NA()))</f>
        <v/>
      </c>
      <c r="AE133" s="12">
        <f>IF(A133=MATCH(TRUE,$Z$2:$Z$261,0),MAX($AB$2:$AB$261),IF(A133=MATCH(TRUE,$Z$2:$Z$261,0)-1,0,NA()))</f>
        <v/>
      </c>
    </row>
    <row r="134">
      <c r="A134" t="n">
        <v>133</v>
      </c>
      <c r="B134" s="14">
        <f>Variables!$B$24+(A134-1)*7</f>
        <v/>
      </c>
      <c r="C134" s="12">
        <f>P133</f>
        <v/>
      </c>
      <c r="D134" s="12">
        <f>Q133</f>
        <v/>
      </c>
      <c r="E134" s="12">
        <f>C134+IF(A134&gt;Variables!$B$25,D134,0)</f>
        <v/>
      </c>
      <c r="F134" s="12">
        <f>C134+D134</f>
        <v/>
      </c>
      <c r="G134" s="11">
        <f>IF(A134&gt;Variables!$B$22,Variables!$B$12,0)</f>
        <v/>
      </c>
      <c r="H134" s="11">
        <f>IF(AND(A134&gt;Variables!$B$22,Variables!$B$14="Yes"),Variables!$B$13,0)</f>
        <v/>
      </c>
      <c r="I134" s="11">
        <f>IF(AA134&gt;Variables!$B$18,0,IF(AA134&gt;Variables!$B$19,CEILING((AA134-Variables!$B$19)/Variables!$B$21,1)*Variables!$B$20,0))</f>
        <v/>
      </c>
      <c r="J134" s="11">
        <f>IF(AA134&lt;=Variables!$B$18,MIN(Variables!$B$9-Variables!$B$8+I134,Variables!$B$26),0)</f>
        <v/>
      </c>
      <c r="K134" s="11">
        <f>IF(AA134&lt;=Variables!$B$18,Variables!$B$27,0)</f>
        <v/>
      </c>
      <c r="L134" s="11">
        <f>IF(AA134&gt;Variables!$B$18,G134+H134,Variables!$B$26-J134)</f>
        <v/>
      </c>
      <c r="M134" s="11">
        <f>IF(AA134&gt;Variables!$B$18,Variables!$B$2-G134-H134,J134+K134)</f>
        <v/>
      </c>
      <c r="N134" s="11">
        <f>Variables!$B$9-AC134</f>
        <v/>
      </c>
      <c r="O134" s="12">
        <f>F134+N134</f>
        <v/>
      </c>
      <c r="P134" s="12">
        <f>MAX(0,C134+N134)</f>
        <v/>
      </c>
      <c r="Q134" s="12">
        <f>D134+MIN(0,C134+N134)</f>
        <v/>
      </c>
      <c r="R134">
        <f>IF(AA134&gt;Variables!$B$18,"Self-funder",IF(AA134&gt;Variables!$B$19,"Tariff band - council contributing","Council pays standard rate"))</f>
        <v/>
      </c>
      <c r="S134" s="12">
        <f>Variables!$B$18</f>
        <v/>
      </c>
      <c r="T134" s="12">
        <f>Variables!$B$19</f>
        <v/>
      </c>
      <c r="U134">
        <f>AA134&lt;=Variables!$B$18</f>
        <v/>
      </c>
      <c r="V134">
        <f>AA134&lt;=Variables!$B$19</f>
        <v/>
      </c>
      <c r="W134">
        <f>P134&lt;=0</f>
        <v/>
      </c>
      <c r="X134" s="12">
        <f>Variables!$B$28</f>
        <v/>
      </c>
      <c r="Y134">
        <f>AB134&lt;=Variables!$B$28</f>
        <v/>
      </c>
      <c r="Z134">
        <f>AB134&lt;=Variables!$B$18</f>
        <v/>
      </c>
      <c r="AA134" s="12">
        <f>AB133</f>
        <v/>
      </c>
      <c r="AB134" s="12">
        <f>AA134+Variables!$B$9-M134</f>
        <v/>
      </c>
      <c r="AC134" s="11">
        <f>IF(MOD(A134-1,Variables!$B$30)=0,Variables!$B$30*M134,0)</f>
        <v/>
      </c>
      <c r="AD134" s="12">
        <f>IF(A134=MATCH(TRUE,$Y$2:$Y$261,0),MAX($AB$2:$AB$261),IF(A134=MATCH(TRUE,$Y$2:$Y$261,0)-1,0,NA()))</f>
        <v/>
      </c>
      <c r="AE134" s="12">
        <f>IF(A134=MATCH(TRUE,$Z$2:$Z$261,0),MAX($AB$2:$AB$261),IF(A134=MATCH(TRUE,$Z$2:$Z$261,0)-1,0,NA()))</f>
        <v/>
      </c>
    </row>
    <row r="135">
      <c r="A135" t="n">
        <v>134</v>
      </c>
      <c r="B135" s="14">
        <f>Variables!$B$24+(A135-1)*7</f>
        <v/>
      </c>
      <c r="C135" s="12">
        <f>P134</f>
        <v/>
      </c>
      <c r="D135" s="12">
        <f>Q134</f>
        <v/>
      </c>
      <c r="E135" s="12">
        <f>C135+IF(A135&gt;Variables!$B$25,D135,0)</f>
        <v/>
      </c>
      <c r="F135" s="12">
        <f>C135+D135</f>
        <v/>
      </c>
      <c r="G135" s="11">
        <f>IF(A135&gt;Variables!$B$22,Variables!$B$12,0)</f>
        <v/>
      </c>
      <c r="H135" s="11">
        <f>IF(AND(A135&gt;Variables!$B$22,Variables!$B$14="Yes"),Variables!$B$13,0)</f>
        <v/>
      </c>
      <c r="I135" s="11">
        <f>IF(AA135&gt;Variables!$B$18,0,IF(AA135&gt;Variables!$B$19,CEILING((AA135-Variables!$B$19)/Variables!$B$21,1)*Variables!$B$20,0))</f>
        <v/>
      </c>
      <c r="J135" s="11">
        <f>IF(AA135&lt;=Variables!$B$18,MIN(Variables!$B$9-Variables!$B$8+I135,Variables!$B$26),0)</f>
        <v/>
      </c>
      <c r="K135" s="11">
        <f>IF(AA135&lt;=Variables!$B$18,Variables!$B$27,0)</f>
        <v/>
      </c>
      <c r="L135" s="11">
        <f>IF(AA135&gt;Variables!$B$18,G135+H135,Variables!$B$26-J135)</f>
        <v/>
      </c>
      <c r="M135" s="11">
        <f>IF(AA135&gt;Variables!$B$18,Variables!$B$2-G135-H135,J135+K135)</f>
        <v/>
      </c>
      <c r="N135" s="11">
        <f>Variables!$B$9-AC135</f>
        <v/>
      </c>
      <c r="O135" s="12">
        <f>F135+N135</f>
        <v/>
      </c>
      <c r="P135" s="12">
        <f>MAX(0,C135+N135)</f>
        <v/>
      </c>
      <c r="Q135" s="12">
        <f>D135+MIN(0,C135+N135)</f>
        <v/>
      </c>
      <c r="R135">
        <f>IF(AA135&gt;Variables!$B$18,"Self-funder",IF(AA135&gt;Variables!$B$19,"Tariff band - council contributing","Council pays standard rate"))</f>
        <v/>
      </c>
      <c r="S135" s="12">
        <f>Variables!$B$18</f>
        <v/>
      </c>
      <c r="T135" s="12">
        <f>Variables!$B$19</f>
        <v/>
      </c>
      <c r="U135">
        <f>AA135&lt;=Variables!$B$18</f>
        <v/>
      </c>
      <c r="V135">
        <f>AA135&lt;=Variables!$B$19</f>
        <v/>
      </c>
      <c r="W135">
        <f>P135&lt;=0</f>
        <v/>
      </c>
      <c r="X135" s="12">
        <f>Variables!$B$28</f>
        <v/>
      </c>
      <c r="Y135">
        <f>AB135&lt;=Variables!$B$28</f>
        <v/>
      </c>
      <c r="Z135">
        <f>AB135&lt;=Variables!$B$18</f>
        <v/>
      </c>
      <c r="AA135" s="12">
        <f>AB134</f>
        <v/>
      </c>
      <c r="AB135" s="12">
        <f>AA135+Variables!$B$9-M135</f>
        <v/>
      </c>
      <c r="AC135" s="11">
        <f>IF(MOD(A135-1,Variables!$B$30)=0,Variables!$B$30*M135,0)</f>
        <v/>
      </c>
      <c r="AD135" s="12">
        <f>IF(A135=MATCH(TRUE,$Y$2:$Y$261,0),MAX($AB$2:$AB$261),IF(A135=MATCH(TRUE,$Y$2:$Y$261,0)-1,0,NA()))</f>
        <v/>
      </c>
      <c r="AE135" s="12">
        <f>IF(A135=MATCH(TRUE,$Z$2:$Z$261,0),MAX($AB$2:$AB$261),IF(A135=MATCH(TRUE,$Z$2:$Z$261,0)-1,0,NA()))</f>
        <v/>
      </c>
    </row>
    <row r="136">
      <c r="A136" t="n">
        <v>135</v>
      </c>
      <c r="B136" s="14">
        <f>Variables!$B$24+(A136-1)*7</f>
        <v/>
      </c>
      <c r="C136" s="12">
        <f>P135</f>
        <v/>
      </c>
      <c r="D136" s="12">
        <f>Q135</f>
        <v/>
      </c>
      <c r="E136" s="12">
        <f>C136+IF(A136&gt;Variables!$B$25,D136,0)</f>
        <v/>
      </c>
      <c r="F136" s="12">
        <f>C136+D136</f>
        <v/>
      </c>
      <c r="G136" s="11">
        <f>IF(A136&gt;Variables!$B$22,Variables!$B$12,0)</f>
        <v/>
      </c>
      <c r="H136" s="11">
        <f>IF(AND(A136&gt;Variables!$B$22,Variables!$B$14="Yes"),Variables!$B$13,0)</f>
        <v/>
      </c>
      <c r="I136" s="11">
        <f>IF(AA136&gt;Variables!$B$18,0,IF(AA136&gt;Variables!$B$19,CEILING((AA136-Variables!$B$19)/Variables!$B$21,1)*Variables!$B$20,0))</f>
        <v/>
      </c>
      <c r="J136" s="11">
        <f>IF(AA136&lt;=Variables!$B$18,MIN(Variables!$B$9-Variables!$B$8+I136,Variables!$B$26),0)</f>
        <v/>
      </c>
      <c r="K136" s="11">
        <f>IF(AA136&lt;=Variables!$B$18,Variables!$B$27,0)</f>
        <v/>
      </c>
      <c r="L136" s="11">
        <f>IF(AA136&gt;Variables!$B$18,G136+H136,Variables!$B$26-J136)</f>
        <v/>
      </c>
      <c r="M136" s="11">
        <f>IF(AA136&gt;Variables!$B$18,Variables!$B$2-G136-H136,J136+K136)</f>
        <v/>
      </c>
      <c r="N136" s="11">
        <f>Variables!$B$9-AC136</f>
        <v/>
      </c>
      <c r="O136" s="12">
        <f>F136+N136</f>
        <v/>
      </c>
      <c r="P136" s="12">
        <f>MAX(0,C136+N136)</f>
        <v/>
      </c>
      <c r="Q136" s="12">
        <f>D136+MIN(0,C136+N136)</f>
        <v/>
      </c>
      <c r="R136">
        <f>IF(AA136&gt;Variables!$B$18,"Self-funder",IF(AA136&gt;Variables!$B$19,"Tariff band - council contributing","Council pays standard rate"))</f>
        <v/>
      </c>
      <c r="S136" s="12">
        <f>Variables!$B$18</f>
        <v/>
      </c>
      <c r="T136" s="12">
        <f>Variables!$B$19</f>
        <v/>
      </c>
      <c r="U136">
        <f>AA136&lt;=Variables!$B$18</f>
        <v/>
      </c>
      <c r="V136">
        <f>AA136&lt;=Variables!$B$19</f>
        <v/>
      </c>
      <c r="W136">
        <f>P136&lt;=0</f>
        <v/>
      </c>
      <c r="X136" s="12">
        <f>Variables!$B$28</f>
        <v/>
      </c>
      <c r="Y136">
        <f>AB136&lt;=Variables!$B$28</f>
        <v/>
      </c>
      <c r="Z136">
        <f>AB136&lt;=Variables!$B$18</f>
        <v/>
      </c>
      <c r="AA136" s="12">
        <f>AB135</f>
        <v/>
      </c>
      <c r="AB136" s="12">
        <f>AA136+Variables!$B$9-M136</f>
        <v/>
      </c>
      <c r="AC136" s="11">
        <f>IF(MOD(A136-1,Variables!$B$30)=0,Variables!$B$30*M136,0)</f>
        <v/>
      </c>
      <c r="AD136" s="12">
        <f>IF(A136=MATCH(TRUE,$Y$2:$Y$261,0),MAX($AB$2:$AB$261),IF(A136=MATCH(TRUE,$Y$2:$Y$261,0)-1,0,NA()))</f>
        <v/>
      </c>
      <c r="AE136" s="12">
        <f>IF(A136=MATCH(TRUE,$Z$2:$Z$261,0),MAX($AB$2:$AB$261),IF(A136=MATCH(TRUE,$Z$2:$Z$261,0)-1,0,NA()))</f>
        <v/>
      </c>
    </row>
    <row r="137">
      <c r="A137" t="n">
        <v>136</v>
      </c>
      <c r="B137" s="14">
        <f>Variables!$B$24+(A137-1)*7</f>
        <v/>
      </c>
      <c r="C137" s="12">
        <f>P136</f>
        <v/>
      </c>
      <c r="D137" s="12">
        <f>Q136</f>
        <v/>
      </c>
      <c r="E137" s="12">
        <f>C137+IF(A137&gt;Variables!$B$25,D137,0)</f>
        <v/>
      </c>
      <c r="F137" s="12">
        <f>C137+D137</f>
        <v/>
      </c>
      <c r="G137" s="11">
        <f>IF(A137&gt;Variables!$B$22,Variables!$B$12,0)</f>
        <v/>
      </c>
      <c r="H137" s="11">
        <f>IF(AND(A137&gt;Variables!$B$22,Variables!$B$14="Yes"),Variables!$B$13,0)</f>
        <v/>
      </c>
      <c r="I137" s="11">
        <f>IF(AA137&gt;Variables!$B$18,0,IF(AA137&gt;Variables!$B$19,CEILING((AA137-Variables!$B$19)/Variables!$B$21,1)*Variables!$B$20,0))</f>
        <v/>
      </c>
      <c r="J137" s="11">
        <f>IF(AA137&lt;=Variables!$B$18,MIN(Variables!$B$9-Variables!$B$8+I137,Variables!$B$26),0)</f>
        <v/>
      </c>
      <c r="K137" s="11">
        <f>IF(AA137&lt;=Variables!$B$18,Variables!$B$27,0)</f>
        <v/>
      </c>
      <c r="L137" s="11">
        <f>IF(AA137&gt;Variables!$B$18,G137+H137,Variables!$B$26-J137)</f>
        <v/>
      </c>
      <c r="M137" s="11">
        <f>IF(AA137&gt;Variables!$B$18,Variables!$B$2-G137-H137,J137+K137)</f>
        <v/>
      </c>
      <c r="N137" s="11">
        <f>Variables!$B$9-AC137</f>
        <v/>
      </c>
      <c r="O137" s="12">
        <f>F137+N137</f>
        <v/>
      </c>
      <c r="P137" s="12">
        <f>MAX(0,C137+N137)</f>
        <v/>
      </c>
      <c r="Q137" s="12">
        <f>D137+MIN(0,C137+N137)</f>
        <v/>
      </c>
      <c r="R137">
        <f>IF(AA137&gt;Variables!$B$18,"Self-funder",IF(AA137&gt;Variables!$B$19,"Tariff band - council contributing","Council pays standard rate"))</f>
        <v/>
      </c>
      <c r="S137" s="12">
        <f>Variables!$B$18</f>
        <v/>
      </c>
      <c r="T137" s="12">
        <f>Variables!$B$19</f>
        <v/>
      </c>
      <c r="U137">
        <f>AA137&lt;=Variables!$B$18</f>
        <v/>
      </c>
      <c r="V137">
        <f>AA137&lt;=Variables!$B$19</f>
        <v/>
      </c>
      <c r="W137">
        <f>P137&lt;=0</f>
        <v/>
      </c>
      <c r="X137" s="12">
        <f>Variables!$B$28</f>
        <v/>
      </c>
      <c r="Y137">
        <f>AB137&lt;=Variables!$B$28</f>
        <v/>
      </c>
      <c r="Z137">
        <f>AB137&lt;=Variables!$B$18</f>
        <v/>
      </c>
      <c r="AA137" s="12">
        <f>AB136</f>
        <v/>
      </c>
      <c r="AB137" s="12">
        <f>AA137+Variables!$B$9-M137</f>
        <v/>
      </c>
      <c r="AC137" s="11">
        <f>IF(MOD(A137-1,Variables!$B$30)=0,Variables!$B$30*M137,0)</f>
        <v/>
      </c>
      <c r="AD137" s="12">
        <f>IF(A137=MATCH(TRUE,$Y$2:$Y$261,0),MAX($AB$2:$AB$261),IF(A137=MATCH(TRUE,$Y$2:$Y$261,0)-1,0,NA()))</f>
        <v/>
      </c>
      <c r="AE137" s="12">
        <f>IF(A137=MATCH(TRUE,$Z$2:$Z$261,0),MAX($AB$2:$AB$261),IF(A137=MATCH(TRUE,$Z$2:$Z$261,0)-1,0,NA()))</f>
        <v/>
      </c>
    </row>
    <row r="138">
      <c r="A138" t="n">
        <v>137</v>
      </c>
      <c r="B138" s="14">
        <f>Variables!$B$24+(A138-1)*7</f>
        <v/>
      </c>
      <c r="C138" s="12">
        <f>P137</f>
        <v/>
      </c>
      <c r="D138" s="12">
        <f>Q137</f>
        <v/>
      </c>
      <c r="E138" s="12">
        <f>C138+IF(A138&gt;Variables!$B$25,D138,0)</f>
        <v/>
      </c>
      <c r="F138" s="12">
        <f>C138+D138</f>
        <v/>
      </c>
      <c r="G138" s="11">
        <f>IF(A138&gt;Variables!$B$22,Variables!$B$12,0)</f>
        <v/>
      </c>
      <c r="H138" s="11">
        <f>IF(AND(A138&gt;Variables!$B$22,Variables!$B$14="Yes"),Variables!$B$13,0)</f>
        <v/>
      </c>
      <c r="I138" s="11">
        <f>IF(AA138&gt;Variables!$B$18,0,IF(AA138&gt;Variables!$B$19,CEILING((AA138-Variables!$B$19)/Variables!$B$21,1)*Variables!$B$20,0))</f>
        <v/>
      </c>
      <c r="J138" s="11">
        <f>IF(AA138&lt;=Variables!$B$18,MIN(Variables!$B$9-Variables!$B$8+I138,Variables!$B$26),0)</f>
        <v/>
      </c>
      <c r="K138" s="11">
        <f>IF(AA138&lt;=Variables!$B$18,Variables!$B$27,0)</f>
        <v/>
      </c>
      <c r="L138" s="11">
        <f>IF(AA138&gt;Variables!$B$18,G138+H138,Variables!$B$26-J138)</f>
        <v/>
      </c>
      <c r="M138" s="11">
        <f>IF(AA138&gt;Variables!$B$18,Variables!$B$2-G138-H138,J138+K138)</f>
        <v/>
      </c>
      <c r="N138" s="11">
        <f>Variables!$B$9-AC138</f>
        <v/>
      </c>
      <c r="O138" s="12">
        <f>F138+N138</f>
        <v/>
      </c>
      <c r="P138" s="12">
        <f>MAX(0,C138+N138)</f>
        <v/>
      </c>
      <c r="Q138" s="12">
        <f>D138+MIN(0,C138+N138)</f>
        <v/>
      </c>
      <c r="R138">
        <f>IF(AA138&gt;Variables!$B$18,"Self-funder",IF(AA138&gt;Variables!$B$19,"Tariff band - council contributing","Council pays standard rate"))</f>
        <v/>
      </c>
      <c r="S138" s="12">
        <f>Variables!$B$18</f>
        <v/>
      </c>
      <c r="T138" s="12">
        <f>Variables!$B$19</f>
        <v/>
      </c>
      <c r="U138">
        <f>AA138&lt;=Variables!$B$18</f>
        <v/>
      </c>
      <c r="V138">
        <f>AA138&lt;=Variables!$B$19</f>
        <v/>
      </c>
      <c r="W138">
        <f>P138&lt;=0</f>
        <v/>
      </c>
      <c r="X138" s="12">
        <f>Variables!$B$28</f>
        <v/>
      </c>
      <c r="Y138">
        <f>AB138&lt;=Variables!$B$28</f>
        <v/>
      </c>
      <c r="Z138">
        <f>AB138&lt;=Variables!$B$18</f>
        <v/>
      </c>
      <c r="AA138" s="12">
        <f>AB137</f>
        <v/>
      </c>
      <c r="AB138" s="12">
        <f>AA138+Variables!$B$9-M138</f>
        <v/>
      </c>
      <c r="AC138" s="11">
        <f>IF(MOD(A138-1,Variables!$B$30)=0,Variables!$B$30*M138,0)</f>
        <v/>
      </c>
      <c r="AD138" s="12">
        <f>IF(A138=MATCH(TRUE,$Y$2:$Y$261,0),MAX($AB$2:$AB$261),IF(A138=MATCH(TRUE,$Y$2:$Y$261,0)-1,0,NA()))</f>
        <v/>
      </c>
      <c r="AE138" s="12">
        <f>IF(A138=MATCH(TRUE,$Z$2:$Z$261,0),MAX($AB$2:$AB$261),IF(A138=MATCH(TRUE,$Z$2:$Z$261,0)-1,0,NA()))</f>
        <v/>
      </c>
    </row>
    <row r="139">
      <c r="A139" t="n">
        <v>138</v>
      </c>
      <c r="B139" s="14">
        <f>Variables!$B$24+(A139-1)*7</f>
        <v/>
      </c>
      <c r="C139" s="12">
        <f>P138</f>
        <v/>
      </c>
      <c r="D139" s="12">
        <f>Q138</f>
        <v/>
      </c>
      <c r="E139" s="12">
        <f>C139+IF(A139&gt;Variables!$B$25,D139,0)</f>
        <v/>
      </c>
      <c r="F139" s="12">
        <f>C139+D139</f>
        <v/>
      </c>
      <c r="G139" s="11">
        <f>IF(A139&gt;Variables!$B$22,Variables!$B$12,0)</f>
        <v/>
      </c>
      <c r="H139" s="11">
        <f>IF(AND(A139&gt;Variables!$B$22,Variables!$B$14="Yes"),Variables!$B$13,0)</f>
        <v/>
      </c>
      <c r="I139" s="11">
        <f>IF(AA139&gt;Variables!$B$18,0,IF(AA139&gt;Variables!$B$19,CEILING((AA139-Variables!$B$19)/Variables!$B$21,1)*Variables!$B$20,0))</f>
        <v/>
      </c>
      <c r="J139" s="11">
        <f>IF(AA139&lt;=Variables!$B$18,MIN(Variables!$B$9-Variables!$B$8+I139,Variables!$B$26),0)</f>
        <v/>
      </c>
      <c r="K139" s="11">
        <f>IF(AA139&lt;=Variables!$B$18,Variables!$B$27,0)</f>
        <v/>
      </c>
      <c r="L139" s="11">
        <f>IF(AA139&gt;Variables!$B$18,G139+H139,Variables!$B$26-J139)</f>
        <v/>
      </c>
      <c r="M139" s="11">
        <f>IF(AA139&gt;Variables!$B$18,Variables!$B$2-G139-H139,J139+K139)</f>
        <v/>
      </c>
      <c r="N139" s="11">
        <f>Variables!$B$9-AC139</f>
        <v/>
      </c>
      <c r="O139" s="12">
        <f>F139+N139</f>
        <v/>
      </c>
      <c r="P139" s="12">
        <f>MAX(0,C139+N139)</f>
        <v/>
      </c>
      <c r="Q139" s="12">
        <f>D139+MIN(0,C139+N139)</f>
        <v/>
      </c>
      <c r="R139">
        <f>IF(AA139&gt;Variables!$B$18,"Self-funder",IF(AA139&gt;Variables!$B$19,"Tariff band - council contributing","Council pays standard rate"))</f>
        <v/>
      </c>
      <c r="S139" s="12">
        <f>Variables!$B$18</f>
        <v/>
      </c>
      <c r="T139" s="12">
        <f>Variables!$B$19</f>
        <v/>
      </c>
      <c r="U139">
        <f>AA139&lt;=Variables!$B$18</f>
        <v/>
      </c>
      <c r="V139">
        <f>AA139&lt;=Variables!$B$19</f>
        <v/>
      </c>
      <c r="W139">
        <f>P139&lt;=0</f>
        <v/>
      </c>
      <c r="X139" s="12">
        <f>Variables!$B$28</f>
        <v/>
      </c>
      <c r="Y139">
        <f>AB139&lt;=Variables!$B$28</f>
        <v/>
      </c>
      <c r="Z139">
        <f>AB139&lt;=Variables!$B$18</f>
        <v/>
      </c>
      <c r="AA139" s="12">
        <f>AB138</f>
        <v/>
      </c>
      <c r="AB139" s="12">
        <f>AA139+Variables!$B$9-M139</f>
        <v/>
      </c>
      <c r="AC139" s="11">
        <f>IF(MOD(A139-1,Variables!$B$30)=0,Variables!$B$30*M139,0)</f>
        <v/>
      </c>
      <c r="AD139" s="12">
        <f>IF(A139=MATCH(TRUE,$Y$2:$Y$261,0),MAX($AB$2:$AB$261),IF(A139=MATCH(TRUE,$Y$2:$Y$261,0)-1,0,NA()))</f>
        <v/>
      </c>
      <c r="AE139" s="12">
        <f>IF(A139=MATCH(TRUE,$Z$2:$Z$261,0),MAX($AB$2:$AB$261),IF(A139=MATCH(TRUE,$Z$2:$Z$261,0)-1,0,NA()))</f>
        <v/>
      </c>
    </row>
    <row r="140">
      <c r="A140" t="n">
        <v>139</v>
      </c>
      <c r="B140" s="14">
        <f>Variables!$B$24+(A140-1)*7</f>
        <v/>
      </c>
      <c r="C140" s="12">
        <f>P139</f>
        <v/>
      </c>
      <c r="D140" s="12">
        <f>Q139</f>
        <v/>
      </c>
      <c r="E140" s="12">
        <f>C140+IF(A140&gt;Variables!$B$25,D140,0)</f>
        <v/>
      </c>
      <c r="F140" s="12">
        <f>C140+D140</f>
        <v/>
      </c>
      <c r="G140" s="11">
        <f>IF(A140&gt;Variables!$B$22,Variables!$B$12,0)</f>
        <v/>
      </c>
      <c r="H140" s="11">
        <f>IF(AND(A140&gt;Variables!$B$22,Variables!$B$14="Yes"),Variables!$B$13,0)</f>
        <v/>
      </c>
      <c r="I140" s="11">
        <f>IF(AA140&gt;Variables!$B$18,0,IF(AA140&gt;Variables!$B$19,CEILING((AA140-Variables!$B$19)/Variables!$B$21,1)*Variables!$B$20,0))</f>
        <v/>
      </c>
      <c r="J140" s="11">
        <f>IF(AA140&lt;=Variables!$B$18,MIN(Variables!$B$9-Variables!$B$8+I140,Variables!$B$26),0)</f>
        <v/>
      </c>
      <c r="K140" s="11">
        <f>IF(AA140&lt;=Variables!$B$18,Variables!$B$27,0)</f>
        <v/>
      </c>
      <c r="L140" s="11">
        <f>IF(AA140&gt;Variables!$B$18,G140+H140,Variables!$B$26-J140)</f>
        <v/>
      </c>
      <c r="M140" s="11">
        <f>IF(AA140&gt;Variables!$B$18,Variables!$B$2-G140-H140,J140+K140)</f>
        <v/>
      </c>
      <c r="N140" s="11">
        <f>Variables!$B$9-AC140</f>
        <v/>
      </c>
      <c r="O140" s="12">
        <f>F140+N140</f>
        <v/>
      </c>
      <c r="P140" s="12">
        <f>MAX(0,C140+N140)</f>
        <v/>
      </c>
      <c r="Q140" s="12">
        <f>D140+MIN(0,C140+N140)</f>
        <v/>
      </c>
      <c r="R140">
        <f>IF(AA140&gt;Variables!$B$18,"Self-funder",IF(AA140&gt;Variables!$B$19,"Tariff band - council contributing","Council pays standard rate"))</f>
        <v/>
      </c>
      <c r="S140" s="12">
        <f>Variables!$B$18</f>
        <v/>
      </c>
      <c r="T140" s="12">
        <f>Variables!$B$19</f>
        <v/>
      </c>
      <c r="U140">
        <f>AA140&lt;=Variables!$B$18</f>
        <v/>
      </c>
      <c r="V140">
        <f>AA140&lt;=Variables!$B$19</f>
        <v/>
      </c>
      <c r="W140">
        <f>P140&lt;=0</f>
        <v/>
      </c>
      <c r="X140" s="12">
        <f>Variables!$B$28</f>
        <v/>
      </c>
      <c r="Y140">
        <f>AB140&lt;=Variables!$B$28</f>
        <v/>
      </c>
      <c r="Z140">
        <f>AB140&lt;=Variables!$B$18</f>
        <v/>
      </c>
      <c r="AA140" s="12">
        <f>AB139</f>
        <v/>
      </c>
      <c r="AB140" s="12">
        <f>AA140+Variables!$B$9-M140</f>
        <v/>
      </c>
      <c r="AC140" s="11">
        <f>IF(MOD(A140-1,Variables!$B$30)=0,Variables!$B$30*M140,0)</f>
        <v/>
      </c>
      <c r="AD140" s="12">
        <f>IF(A140=MATCH(TRUE,$Y$2:$Y$261,0),MAX($AB$2:$AB$261),IF(A140=MATCH(TRUE,$Y$2:$Y$261,0)-1,0,NA()))</f>
        <v/>
      </c>
      <c r="AE140" s="12">
        <f>IF(A140=MATCH(TRUE,$Z$2:$Z$261,0),MAX($AB$2:$AB$261),IF(A140=MATCH(TRUE,$Z$2:$Z$261,0)-1,0,NA()))</f>
        <v/>
      </c>
    </row>
    <row r="141">
      <c r="A141" t="n">
        <v>140</v>
      </c>
      <c r="B141" s="14">
        <f>Variables!$B$24+(A141-1)*7</f>
        <v/>
      </c>
      <c r="C141" s="12">
        <f>P140</f>
        <v/>
      </c>
      <c r="D141" s="12">
        <f>Q140</f>
        <v/>
      </c>
      <c r="E141" s="12">
        <f>C141+IF(A141&gt;Variables!$B$25,D141,0)</f>
        <v/>
      </c>
      <c r="F141" s="12">
        <f>C141+D141</f>
        <v/>
      </c>
      <c r="G141" s="11">
        <f>IF(A141&gt;Variables!$B$22,Variables!$B$12,0)</f>
        <v/>
      </c>
      <c r="H141" s="11">
        <f>IF(AND(A141&gt;Variables!$B$22,Variables!$B$14="Yes"),Variables!$B$13,0)</f>
        <v/>
      </c>
      <c r="I141" s="11">
        <f>IF(AA141&gt;Variables!$B$18,0,IF(AA141&gt;Variables!$B$19,CEILING((AA141-Variables!$B$19)/Variables!$B$21,1)*Variables!$B$20,0))</f>
        <v/>
      </c>
      <c r="J141" s="11">
        <f>IF(AA141&lt;=Variables!$B$18,MIN(Variables!$B$9-Variables!$B$8+I141,Variables!$B$26),0)</f>
        <v/>
      </c>
      <c r="K141" s="11">
        <f>IF(AA141&lt;=Variables!$B$18,Variables!$B$27,0)</f>
        <v/>
      </c>
      <c r="L141" s="11">
        <f>IF(AA141&gt;Variables!$B$18,G141+H141,Variables!$B$26-J141)</f>
        <v/>
      </c>
      <c r="M141" s="11">
        <f>IF(AA141&gt;Variables!$B$18,Variables!$B$2-G141-H141,J141+K141)</f>
        <v/>
      </c>
      <c r="N141" s="11">
        <f>Variables!$B$9-AC141</f>
        <v/>
      </c>
      <c r="O141" s="12">
        <f>F141+N141</f>
        <v/>
      </c>
      <c r="P141" s="12">
        <f>MAX(0,C141+N141)</f>
        <v/>
      </c>
      <c r="Q141" s="12">
        <f>D141+MIN(0,C141+N141)</f>
        <v/>
      </c>
      <c r="R141">
        <f>IF(AA141&gt;Variables!$B$18,"Self-funder",IF(AA141&gt;Variables!$B$19,"Tariff band - council contributing","Council pays standard rate"))</f>
        <v/>
      </c>
      <c r="S141" s="12">
        <f>Variables!$B$18</f>
        <v/>
      </c>
      <c r="T141" s="12">
        <f>Variables!$B$19</f>
        <v/>
      </c>
      <c r="U141">
        <f>AA141&lt;=Variables!$B$18</f>
        <v/>
      </c>
      <c r="V141">
        <f>AA141&lt;=Variables!$B$19</f>
        <v/>
      </c>
      <c r="W141">
        <f>P141&lt;=0</f>
        <v/>
      </c>
      <c r="X141" s="12">
        <f>Variables!$B$28</f>
        <v/>
      </c>
      <c r="Y141">
        <f>AB141&lt;=Variables!$B$28</f>
        <v/>
      </c>
      <c r="Z141">
        <f>AB141&lt;=Variables!$B$18</f>
        <v/>
      </c>
      <c r="AA141" s="12">
        <f>AB140</f>
        <v/>
      </c>
      <c r="AB141" s="12">
        <f>AA141+Variables!$B$9-M141</f>
        <v/>
      </c>
      <c r="AC141" s="11">
        <f>IF(MOD(A141-1,Variables!$B$30)=0,Variables!$B$30*M141,0)</f>
        <v/>
      </c>
      <c r="AD141" s="12">
        <f>IF(A141=MATCH(TRUE,$Y$2:$Y$261,0),MAX($AB$2:$AB$261),IF(A141=MATCH(TRUE,$Y$2:$Y$261,0)-1,0,NA()))</f>
        <v/>
      </c>
      <c r="AE141" s="12">
        <f>IF(A141=MATCH(TRUE,$Z$2:$Z$261,0),MAX($AB$2:$AB$261),IF(A141=MATCH(TRUE,$Z$2:$Z$261,0)-1,0,NA()))</f>
        <v/>
      </c>
    </row>
    <row r="142">
      <c r="A142" t="n">
        <v>141</v>
      </c>
      <c r="B142" s="14">
        <f>Variables!$B$24+(A142-1)*7</f>
        <v/>
      </c>
      <c r="C142" s="12">
        <f>P141</f>
        <v/>
      </c>
      <c r="D142" s="12">
        <f>Q141</f>
        <v/>
      </c>
      <c r="E142" s="12">
        <f>C142+IF(A142&gt;Variables!$B$25,D142,0)</f>
        <v/>
      </c>
      <c r="F142" s="12">
        <f>C142+D142</f>
        <v/>
      </c>
      <c r="G142" s="11">
        <f>IF(A142&gt;Variables!$B$22,Variables!$B$12,0)</f>
        <v/>
      </c>
      <c r="H142" s="11">
        <f>IF(AND(A142&gt;Variables!$B$22,Variables!$B$14="Yes"),Variables!$B$13,0)</f>
        <v/>
      </c>
      <c r="I142" s="11">
        <f>IF(AA142&gt;Variables!$B$18,0,IF(AA142&gt;Variables!$B$19,CEILING((AA142-Variables!$B$19)/Variables!$B$21,1)*Variables!$B$20,0))</f>
        <v/>
      </c>
      <c r="J142" s="11">
        <f>IF(AA142&lt;=Variables!$B$18,MIN(Variables!$B$9-Variables!$B$8+I142,Variables!$B$26),0)</f>
        <v/>
      </c>
      <c r="K142" s="11">
        <f>IF(AA142&lt;=Variables!$B$18,Variables!$B$27,0)</f>
        <v/>
      </c>
      <c r="L142" s="11">
        <f>IF(AA142&gt;Variables!$B$18,G142+H142,Variables!$B$26-J142)</f>
        <v/>
      </c>
      <c r="M142" s="11">
        <f>IF(AA142&gt;Variables!$B$18,Variables!$B$2-G142-H142,J142+K142)</f>
        <v/>
      </c>
      <c r="N142" s="11">
        <f>Variables!$B$9-AC142</f>
        <v/>
      </c>
      <c r="O142" s="12">
        <f>F142+N142</f>
        <v/>
      </c>
      <c r="P142" s="12">
        <f>MAX(0,C142+N142)</f>
        <v/>
      </c>
      <c r="Q142" s="12">
        <f>D142+MIN(0,C142+N142)</f>
        <v/>
      </c>
      <c r="R142">
        <f>IF(AA142&gt;Variables!$B$18,"Self-funder",IF(AA142&gt;Variables!$B$19,"Tariff band - council contributing","Council pays standard rate"))</f>
        <v/>
      </c>
      <c r="S142" s="12">
        <f>Variables!$B$18</f>
        <v/>
      </c>
      <c r="T142" s="12">
        <f>Variables!$B$19</f>
        <v/>
      </c>
      <c r="U142">
        <f>AA142&lt;=Variables!$B$18</f>
        <v/>
      </c>
      <c r="V142">
        <f>AA142&lt;=Variables!$B$19</f>
        <v/>
      </c>
      <c r="W142">
        <f>P142&lt;=0</f>
        <v/>
      </c>
      <c r="X142" s="12">
        <f>Variables!$B$28</f>
        <v/>
      </c>
      <c r="Y142">
        <f>AB142&lt;=Variables!$B$28</f>
        <v/>
      </c>
      <c r="Z142">
        <f>AB142&lt;=Variables!$B$18</f>
        <v/>
      </c>
      <c r="AA142" s="12">
        <f>AB141</f>
        <v/>
      </c>
      <c r="AB142" s="12">
        <f>AA142+Variables!$B$9-M142</f>
        <v/>
      </c>
      <c r="AC142" s="11">
        <f>IF(MOD(A142-1,Variables!$B$30)=0,Variables!$B$30*M142,0)</f>
        <v/>
      </c>
      <c r="AD142" s="12">
        <f>IF(A142=MATCH(TRUE,$Y$2:$Y$261,0),MAX($AB$2:$AB$261),IF(A142=MATCH(TRUE,$Y$2:$Y$261,0)-1,0,NA()))</f>
        <v/>
      </c>
      <c r="AE142" s="12">
        <f>IF(A142=MATCH(TRUE,$Z$2:$Z$261,0),MAX($AB$2:$AB$261),IF(A142=MATCH(TRUE,$Z$2:$Z$261,0)-1,0,NA()))</f>
        <v/>
      </c>
    </row>
    <row r="143">
      <c r="A143" t="n">
        <v>142</v>
      </c>
      <c r="B143" s="14">
        <f>Variables!$B$24+(A143-1)*7</f>
        <v/>
      </c>
      <c r="C143" s="12">
        <f>P142</f>
        <v/>
      </c>
      <c r="D143" s="12">
        <f>Q142</f>
        <v/>
      </c>
      <c r="E143" s="12">
        <f>C143+IF(A143&gt;Variables!$B$25,D143,0)</f>
        <v/>
      </c>
      <c r="F143" s="12">
        <f>C143+D143</f>
        <v/>
      </c>
      <c r="G143" s="11">
        <f>IF(A143&gt;Variables!$B$22,Variables!$B$12,0)</f>
        <v/>
      </c>
      <c r="H143" s="11">
        <f>IF(AND(A143&gt;Variables!$B$22,Variables!$B$14="Yes"),Variables!$B$13,0)</f>
        <v/>
      </c>
      <c r="I143" s="11">
        <f>IF(AA143&gt;Variables!$B$18,0,IF(AA143&gt;Variables!$B$19,CEILING((AA143-Variables!$B$19)/Variables!$B$21,1)*Variables!$B$20,0))</f>
        <v/>
      </c>
      <c r="J143" s="11">
        <f>IF(AA143&lt;=Variables!$B$18,MIN(Variables!$B$9-Variables!$B$8+I143,Variables!$B$26),0)</f>
        <v/>
      </c>
      <c r="K143" s="11">
        <f>IF(AA143&lt;=Variables!$B$18,Variables!$B$27,0)</f>
        <v/>
      </c>
      <c r="L143" s="11">
        <f>IF(AA143&gt;Variables!$B$18,G143+H143,Variables!$B$26-J143)</f>
        <v/>
      </c>
      <c r="M143" s="11">
        <f>IF(AA143&gt;Variables!$B$18,Variables!$B$2-G143-H143,J143+K143)</f>
        <v/>
      </c>
      <c r="N143" s="11">
        <f>Variables!$B$9-AC143</f>
        <v/>
      </c>
      <c r="O143" s="12">
        <f>F143+N143</f>
        <v/>
      </c>
      <c r="P143" s="12">
        <f>MAX(0,C143+N143)</f>
        <v/>
      </c>
      <c r="Q143" s="12">
        <f>D143+MIN(0,C143+N143)</f>
        <v/>
      </c>
      <c r="R143">
        <f>IF(AA143&gt;Variables!$B$18,"Self-funder",IF(AA143&gt;Variables!$B$19,"Tariff band - council contributing","Council pays standard rate"))</f>
        <v/>
      </c>
      <c r="S143" s="12">
        <f>Variables!$B$18</f>
        <v/>
      </c>
      <c r="T143" s="12">
        <f>Variables!$B$19</f>
        <v/>
      </c>
      <c r="U143">
        <f>AA143&lt;=Variables!$B$18</f>
        <v/>
      </c>
      <c r="V143">
        <f>AA143&lt;=Variables!$B$19</f>
        <v/>
      </c>
      <c r="W143">
        <f>P143&lt;=0</f>
        <v/>
      </c>
      <c r="X143" s="12">
        <f>Variables!$B$28</f>
        <v/>
      </c>
      <c r="Y143">
        <f>AB143&lt;=Variables!$B$28</f>
        <v/>
      </c>
      <c r="Z143">
        <f>AB143&lt;=Variables!$B$18</f>
        <v/>
      </c>
      <c r="AA143" s="12">
        <f>AB142</f>
        <v/>
      </c>
      <c r="AB143" s="12">
        <f>AA143+Variables!$B$9-M143</f>
        <v/>
      </c>
      <c r="AC143" s="11">
        <f>IF(MOD(A143-1,Variables!$B$30)=0,Variables!$B$30*M143,0)</f>
        <v/>
      </c>
      <c r="AD143" s="12">
        <f>IF(A143=MATCH(TRUE,$Y$2:$Y$261,0),MAX($AB$2:$AB$261),IF(A143=MATCH(TRUE,$Y$2:$Y$261,0)-1,0,NA()))</f>
        <v/>
      </c>
      <c r="AE143" s="12">
        <f>IF(A143=MATCH(TRUE,$Z$2:$Z$261,0),MAX($AB$2:$AB$261),IF(A143=MATCH(TRUE,$Z$2:$Z$261,0)-1,0,NA()))</f>
        <v/>
      </c>
    </row>
    <row r="144">
      <c r="A144" t="n">
        <v>143</v>
      </c>
      <c r="B144" s="14">
        <f>Variables!$B$24+(A144-1)*7</f>
        <v/>
      </c>
      <c r="C144" s="12">
        <f>P143</f>
        <v/>
      </c>
      <c r="D144" s="12">
        <f>Q143</f>
        <v/>
      </c>
      <c r="E144" s="12">
        <f>C144+IF(A144&gt;Variables!$B$25,D144,0)</f>
        <v/>
      </c>
      <c r="F144" s="12">
        <f>C144+D144</f>
        <v/>
      </c>
      <c r="G144" s="11">
        <f>IF(A144&gt;Variables!$B$22,Variables!$B$12,0)</f>
        <v/>
      </c>
      <c r="H144" s="11">
        <f>IF(AND(A144&gt;Variables!$B$22,Variables!$B$14="Yes"),Variables!$B$13,0)</f>
        <v/>
      </c>
      <c r="I144" s="11">
        <f>IF(AA144&gt;Variables!$B$18,0,IF(AA144&gt;Variables!$B$19,CEILING((AA144-Variables!$B$19)/Variables!$B$21,1)*Variables!$B$20,0))</f>
        <v/>
      </c>
      <c r="J144" s="11">
        <f>IF(AA144&lt;=Variables!$B$18,MIN(Variables!$B$9-Variables!$B$8+I144,Variables!$B$26),0)</f>
        <v/>
      </c>
      <c r="K144" s="11">
        <f>IF(AA144&lt;=Variables!$B$18,Variables!$B$27,0)</f>
        <v/>
      </c>
      <c r="L144" s="11">
        <f>IF(AA144&gt;Variables!$B$18,G144+H144,Variables!$B$26-J144)</f>
        <v/>
      </c>
      <c r="M144" s="11">
        <f>IF(AA144&gt;Variables!$B$18,Variables!$B$2-G144-H144,J144+K144)</f>
        <v/>
      </c>
      <c r="N144" s="11">
        <f>Variables!$B$9-AC144</f>
        <v/>
      </c>
      <c r="O144" s="12">
        <f>F144+N144</f>
        <v/>
      </c>
      <c r="P144" s="12">
        <f>MAX(0,C144+N144)</f>
        <v/>
      </c>
      <c r="Q144" s="12">
        <f>D144+MIN(0,C144+N144)</f>
        <v/>
      </c>
      <c r="R144">
        <f>IF(AA144&gt;Variables!$B$18,"Self-funder",IF(AA144&gt;Variables!$B$19,"Tariff band - council contributing","Council pays standard rate"))</f>
        <v/>
      </c>
      <c r="S144" s="12">
        <f>Variables!$B$18</f>
        <v/>
      </c>
      <c r="T144" s="12">
        <f>Variables!$B$19</f>
        <v/>
      </c>
      <c r="U144">
        <f>AA144&lt;=Variables!$B$18</f>
        <v/>
      </c>
      <c r="V144">
        <f>AA144&lt;=Variables!$B$19</f>
        <v/>
      </c>
      <c r="W144">
        <f>P144&lt;=0</f>
        <v/>
      </c>
      <c r="X144" s="12">
        <f>Variables!$B$28</f>
        <v/>
      </c>
      <c r="Y144">
        <f>AB144&lt;=Variables!$B$28</f>
        <v/>
      </c>
      <c r="Z144">
        <f>AB144&lt;=Variables!$B$18</f>
        <v/>
      </c>
      <c r="AA144" s="12">
        <f>AB143</f>
        <v/>
      </c>
      <c r="AB144" s="12">
        <f>AA144+Variables!$B$9-M144</f>
        <v/>
      </c>
      <c r="AC144" s="11">
        <f>IF(MOD(A144-1,Variables!$B$30)=0,Variables!$B$30*M144,0)</f>
        <v/>
      </c>
      <c r="AD144" s="12">
        <f>IF(A144=MATCH(TRUE,$Y$2:$Y$261,0),MAX($AB$2:$AB$261),IF(A144=MATCH(TRUE,$Y$2:$Y$261,0)-1,0,NA()))</f>
        <v/>
      </c>
      <c r="AE144" s="12">
        <f>IF(A144=MATCH(TRUE,$Z$2:$Z$261,0),MAX($AB$2:$AB$261),IF(A144=MATCH(TRUE,$Z$2:$Z$261,0)-1,0,NA()))</f>
        <v/>
      </c>
    </row>
    <row r="145">
      <c r="A145" t="n">
        <v>144</v>
      </c>
      <c r="B145" s="14">
        <f>Variables!$B$24+(A145-1)*7</f>
        <v/>
      </c>
      <c r="C145" s="12">
        <f>P144</f>
        <v/>
      </c>
      <c r="D145" s="12">
        <f>Q144</f>
        <v/>
      </c>
      <c r="E145" s="12">
        <f>C145+IF(A145&gt;Variables!$B$25,D145,0)</f>
        <v/>
      </c>
      <c r="F145" s="12">
        <f>C145+D145</f>
        <v/>
      </c>
      <c r="G145" s="11">
        <f>IF(A145&gt;Variables!$B$22,Variables!$B$12,0)</f>
        <v/>
      </c>
      <c r="H145" s="11">
        <f>IF(AND(A145&gt;Variables!$B$22,Variables!$B$14="Yes"),Variables!$B$13,0)</f>
        <v/>
      </c>
      <c r="I145" s="11">
        <f>IF(AA145&gt;Variables!$B$18,0,IF(AA145&gt;Variables!$B$19,CEILING((AA145-Variables!$B$19)/Variables!$B$21,1)*Variables!$B$20,0))</f>
        <v/>
      </c>
      <c r="J145" s="11">
        <f>IF(AA145&lt;=Variables!$B$18,MIN(Variables!$B$9-Variables!$B$8+I145,Variables!$B$26),0)</f>
        <v/>
      </c>
      <c r="K145" s="11">
        <f>IF(AA145&lt;=Variables!$B$18,Variables!$B$27,0)</f>
        <v/>
      </c>
      <c r="L145" s="11">
        <f>IF(AA145&gt;Variables!$B$18,G145+H145,Variables!$B$26-J145)</f>
        <v/>
      </c>
      <c r="M145" s="11">
        <f>IF(AA145&gt;Variables!$B$18,Variables!$B$2-G145-H145,J145+K145)</f>
        <v/>
      </c>
      <c r="N145" s="11">
        <f>Variables!$B$9-AC145</f>
        <v/>
      </c>
      <c r="O145" s="12">
        <f>F145+N145</f>
        <v/>
      </c>
      <c r="P145" s="12">
        <f>MAX(0,C145+N145)</f>
        <v/>
      </c>
      <c r="Q145" s="12">
        <f>D145+MIN(0,C145+N145)</f>
        <v/>
      </c>
      <c r="R145">
        <f>IF(AA145&gt;Variables!$B$18,"Self-funder",IF(AA145&gt;Variables!$B$19,"Tariff band - council contributing","Council pays standard rate"))</f>
        <v/>
      </c>
      <c r="S145" s="12">
        <f>Variables!$B$18</f>
        <v/>
      </c>
      <c r="T145" s="12">
        <f>Variables!$B$19</f>
        <v/>
      </c>
      <c r="U145">
        <f>AA145&lt;=Variables!$B$18</f>
        <v/>
      </c>
      <c r="V145">
        <f>AA145&lt;=Variables!$B$19</f>
        <v/>
      </c>
      <c r="W145">
        <f>P145&lt;=0</f>
        <v/>
      </c>
      <c r="X145" s="12">
        <f>Variables!$B$28</f>
        <v/>
      </c>
      <c r="Y145">
        <f>AB145&lt;=Variables!$B$28</f>
        <v/>
      </c>
      <c r="Z145">
        <f>AB145&lt;=Variables!$B$18</f>
        <v/>
      </c>
      <c r="AA145" s="12">
        <f>AB144</f>
        <v/>
      </c>
      <c r="AB145" s="12">
        <f>AA145+Variables!$B$9-M145</f>
        <v/>
      </c>
      <c r="AC145" s="11">
        <f>IF(MOD(A145-1,Variables!$B$30)=0,Variables!$B$30*M145,0)</f>
        <v/>
      </c>
      <c r="AD145" s="12">
        <f>IF(A145=MATCH(TRUE,$Y$2:$Y$261,0),MAX($AB$2:$AB$261),IF(A145=MATCH(TRUE,$Y$2:$Y$261,0)-1,0,NA()))</f>
        <v/>
      </c>
      <c r="AE145" s="12">
        <f>IF(A145=MATCH(TRUE,$Z$2:$Z$261,0),MAX($AB$2:$AB$261),IF(A145=MATCH(TRUE,$Z$2:$Z$261,0)-1,0,NA()))</f>
        <v/>
      </c>
    </row>
    <row r="146">
      <c r="A146" t="n">
        <v>145</v>
      </c>
      <c r="B146" s="14">
        <f>Variables!$B$24+(A146-1)*7</f>
        <v/>
      </c>
      <c r="C146" s="12">
        <f>P145</f>
        <v/>
      </c>
      <c r="D146" s="12">
        <f>Q145</f>
        <v/>
      </c>
      <c r="E146" s="12">
        <f>C146+IF(A146&gt;Variables!$B$25,D146,0)</f>
        <v/>
      </c>
      <c r="F146" s="12">
        <f>C146+D146</f>
        <v/>
      </c>
      <c r="G146" s="11">
        <f>IF(A146&gt;Variables!$B$22,Variables!$B$12,0)</f>
        <v/>
      </c>
      <c r="H146" s="11">
        <f>IF(AND(A146&gt;Variables!$B$22,Variables!$B$14="Yes"),Variables!$B$13,0)</f>
        <v/>
      </c>
      <c r="I146" s="11">
        <f>IF(AA146&gt;Variables!$B$18,0,IF(AA146&gt;Variables!$B$19,CEILING((AA146-Variables!$B$19)/Variables!$B$21,1)*Variables!$B$20,0))</f>
        <v/>
      </c>
      <c r="J146" s="11">
        <f>IF(AA146&lt;=Variables!$B$18,MIN(Variables!$B$9-Variables!$B$8+I146,Variables!$B$26),0)</f>
        <v/>
      </c>
      <c r="K146" s="11">
        <f>IF(AA146&lt;=Variables!$B$18,Variables!$B$27,0)</f>
        <v/>
      </c>
      <c r="L146" s="11">
        <f>IF(AA146&gt;Variables!$B$18,G146+H146,Variables!$B$26-J146)</f>
        <v/>
      </c>
      <c r="M146" s="11">
        <f>IF(AA146&gt;Variables!$B$18,Variables!$B$2-G146-H146,J146+K146)</f>
        <v/>
      </c>
      <c r="N146" s="11">
        <f>Variables!$B$9-AC146</f>
        <v/>
      </c>
      <c r="O146" s="12">
        <f>F146+N146</f>
        <v/>
      </c>
      <c r="P146" s="12">
        <f>MAX(0,C146+N146)</f>
        <v/>
      </c>
      <c r="Q146" s="12">
        <f>D146+MIN(0,C146+N146)</f>
        <v/>
      </c>
      <c r="R146">
        <f>IF(AA146&gt;Variables!$B$18,"Self-funder",IF(AA146&gt;Variables!$B$19,"Tariff band - council contributing","Council pays standard rate"))</f>
        <v/>
      </c>
      <c r="S146" s="12">
        <f>Variables!$B$18</f>
        <v/>
      </c>
      <c r="T146" s="12">
        <f>Variables!$B$19</f>
        <v/>
      </c>
      <c r="U146">
        <f>AA146&lt;=Variables!$B$18</f>
        <v/>
      </c>
      <c r="V146">
        <f>AA146&lt;=Variables!$B$19</f>
        <v/>
      </c>
      <c r="W146">
        <f>P146&lt;=0</f>
        <v/>
      </c>
      <c r="X146" s="12">
        <f>Variables!$B$28</f>
        <v/>
      </c>
      <c r="Y146">
        <f>AB146&lt;=Variables!$B$28</f>
        <v/>
      </c>
      <c r="Z146">
        <f>AB146&lt;=Variables!$B$18</f>
        <v/>
      </c>
      <c r="AA146" s="12">
        <f>AB145</f>
        <v/>
      </c>
      <c r="AB146" s="12">
        <f>AA146+Variables!$B$9-M146</f>
        <v/>
      </c>
      <c r="AC146" s="11">
        <f>IF(MOD(A146-1,Variables!$B$30)=0,Variables!$B$30*M146,0)</f>
        <v/>
      </c>
      <c r="AD146" s="12">
        <f>IF(A146=MATCH(TRUE,$Y$2:$Y$261,0),MAX($AB$2:$AB$261),IF(A146=MATCH(TRUE,$Y$2:$Y$261,0)-1,0,NA()))</f>
        <v/>
      </c>
      <c r="AE146" s="12">
        <f>IF(A146=MATCH(TRUE,$Z$2:$Z$261,0),MAX($AB$2:$AB$261),IF(A146=MATCH(TRUE,$Z$2:$Z$261,0)-1,0,NA()))</f>
        <v/>
      </c>
    </row>
    <row r="147">
      <c r="A147" t="n">
        <v>146</v>
      </c>
      <c r="B147" s="14">
        <f>Variables!$B$24+(A147-1)*7</f>
        <v/>
      </c>
      <c r="C147" s="12">
        <f>P146</f>
        <v/>
      </c>
      <c r="D147" s="12">
        <f>Q146</f>
        <v/>
      </c>
      <c r="E147" s="12">
        <f>C147+IF(A147&gt;Variables!$B$25,D147,0)</f>
        <v/>
      </c>
      <c r="F147" s="12">
        <f>C147+D147</f>
        <v/>
      </c>
      <c r="G147" s="11">
        <f>IF(A147&gt;Variables!$B$22,Variables!$B$12,0)</f>
        <v/>
      </c>
      <c r="H147" s="11">
        <f>IF(AND(A147&gt;Variables!$B$22,Variables!$B$14="Yes"),Variables!$B$13,0)</f>
        <v/>
      </c>
      <c r="I147" s="11">
        <f>IF(AA147&gt;Variables!$B$18,0,IF(AA147&gt;Variables!$B$19,CEILING((AA147-Variables!$B$19)/Variables!$B$21,1)*Variables!$B$20,0))</f>
        <v/>
      </c>
      <c r="J147" s="11">
        <f>IF(AA147&lt;=Variables!$B$18,MIN(Variables!$B$9-Variables!$B$8+I147,Variables!$B$26),0)</f>
        <v/>
      </c>
      <c r="K147" s="11">
        <f>IF(AA147&lt;=Variables!$B$18,Variables!$B$27,0)</f>
        <v/>
      </c>
      <c r="L147" s="11">
        <f>IF(AA147&gt;Variables!$B$18,G147+H147,Variables!$B$26-J147)</f>
        <v/>
      </c>
      <c r="M147" s="11">
        <f>IF(AA147&gt;Variables!$B$18,Variables!$B$2-G147-H147,J147+K147)</f>
        <v/>
      </c>
      <c r="N147" s="11">
        <f>Variables!$B$9-AC147</f>
        <v/>
      </c>
      <c r="O147" s="12">
        <f>F147+N147</f>
        <v/>
      </c>
      <c r="P147" s="12">
        <f>MAX(0,C147+N147)</f>
        <v/>
      </c>
      <c r="Q147" s="12">
        <f>D147+MIN(0,C147+N147)</f>
        <v/>
      </c>
      <c r="R147">
        <f>IF(AA147&gt;Variables!$B$18,"Self-funder",IF(AA147&gt;Variables!$B$19,"Tariff band - council contributing","Council pays standard rate"))</f>
        <v/>
      </c>
      <c r="S147" s="12">
        <f>Variables!$B$18</f>
        <v/>
      </c>
      <c r="T147" s="12">
        <f>Variables!$B$19</f>
        <v/>
      </c>
      <c r="U147">
        <f>AA147&lt;=Variables!$B$18</f>
        <v/>
      </c>
      <c r="V147">
        <f>AA147&lt;=Variables!$B$19</f>
        <v/>
      </c>
      <c r="W147">
        <f>P147&lt;=0</f>
        <v/>
      </c>
      <c r="X147" s="12">
        <f>Variables!$B$28</f>
        <v/>
      </c>
      <c r="Y147">
        <f>AB147&lt;=Variables!$B$28</f>
        <v/>
      </c>
      <c r="Z147">
        <f>AB147&lt;=Variables!$B$18</f>
        <v/>
      </c>
      <c r="AA147" s="12">
        <f>AB146</f>
        <v/>
      </c>
      <c r="AB147" s="12">
        <f>AA147+Variables!$B$9-M147</f>
        <v/>
      </c>
      <c r="AC147" s="11">
        <f>IF(MOD(A147-1,Variables!$B$30)=0,Variables!$B$30*M147,0)</f>
        <v/>
      </c>
      <c r="AD147" s="12">
        <f>IF(A147=MATCH(TRUE,$Y$2:$Y$261,0),MAX($AB$2:$AB$261),IF(A147=MATCH(TRUE,$Y$2:$Y$261,0)-1,0,NA()))</f>
        <v/>
      </c>
      <c r="AE147" s="12">
        <f>IF(A147=MATCH(TRUE,$Z$2:$Z$261,0),MAX($AB$2:$AB$261),IF(A147=MATCH(TRUE,$Z$2:$Z$261,0)-1,0,NA()))</f>
        <v/>
      </c>
    </row>
    <row r="148">
      <c r="A148" t="n">
        <v>147</v>
      </c>
      <c r="B148" s="14">
        <f>Variables!$B$24+(A148-1)*7</f>
        <v/>
      </c>
      <c r="C148" s="12">
        <f>P147</f>
        <v/>
      </c>
      <c r="D148" s="12">
        <f>Q147</f>
        <v/>
      </c>
      <c r="E148" s="12">
        <f>C148+IF(A148&gt;Variables!$B$25,D148,0)</f>
        <v/>
      </c>
      <c r="F148" s="12">
        <f>C148+D148</f>
        <v/>
      </c>
      <c r="G148" s="11">
        <f>IF(A148&gt;Variables!$B$22,Variables!$B$12,0)</f>
        <v/>
      </c>
      <c r="H148" s="11">
        <f>IF(AND(A148&gt;Variables!$B$22,Variables!$B$14="Yes"),Variables!$B$13,0)</f>
        <v/>
      </c>
      <c r="I148" s="11">
        <f>IF(AA148&gt;Variables!$B$18,0,IF(AA148&gt;Variables!$B$19,CEILING((AA148-Variables!$B$19)/Variables!$B$21,1)*Variables!$B$20,0))</f>
        <v/>
      </c>
      <c r="J148" s="11">
        <f>IF(AA148&lt;=Variables!$B$18,MIN(Variables!$B$9-Variables!$B$8+I148,Variables!$B$26),0)</f>
        <v/>
      </c>
      <c r="K148" s="11">
        <f>IF(AA148&lt;=Variables!$B$18,Variables!$B$27,0)</f>
        <v/>
      </c>
      <c r="L148" s="11">
        <f>IF(AA148&gt;Variables!$B$18,G148+H148,Variables!$B$26-J148)</f>
        <v/>
      </c>
      <c r="M148" s="11">
        <f>IF(AA148&gt;Variables!$B$18,Variables!$B$2-G148-H148,J148+K148)</f>
        <v/>
      </c>
      <c r="N148" s="11">
        <f>Variables!$B$9-AC148</f>
        <v/>
      </c>
      <c r="O148" s="12">
        <f>F148+N148</f>
        <v/>
      </c>
      <c r="P148" s="12">
        <f>MAX(0,C148+N148)</f>
        <v/>
      </c>
      <c r="Q148" s="12">
        <f>D148+MIN(0,C148+N148)</f>
        <v/>
      </c>
      <c r="R148">
        <f>IF(AA148&gt;Variables!$B$18,"Self-funder",IF(AA148&gt;Variables!$B$19,"Tariff band - council contributing","Council pays standard rate"))</f>
        <v/>
      </c>
      <c r="S148" s="12">
        <f>Variables!$B$18</f>
        <v/>
      </c>
      <c r="T148" s="12">
        <f>Variables!$B$19</f>
        <v/>
      </c>
      <c r="U148">
        <f>AA148&lt;=Variables!$B$18</f>
        <v/>
      </c>
      <c r="V148">
        <f>AA148&lt;=Variables!$B$19</f>
        <v/>
      </c>
      <c r="W148">
        <f>P148&lt;=0</f>
        <v/>
      </c>
      <c r="X148" s="12">
        <f>Variables!$B$28</f>
        <v/>
      </c>
      <c r="Y148">
        <f>AB148&lt;=Variables!$B$28</f>
        <v/>
      </c>
      <c r="Z148">
        <f>AB148&lt;=Variables!$B$18</f>
        <v/>
      </c>
      <c r="AA148" s="12">
        <f>AB147</f>
        <v/>
      </c>
      <c r="AB148" s="12">
        <f>AA148+Variables!$B$9-M148</f>
        <v/>
      </c>
      <c r="AC148" s="11">
        <f>IF(MOD(A148-1,Variables!$B$30)=0,Variables!$B$30*M148,0)</f>
        <v/>
      </c>
      <c r="AD148" s="12">
        <f>IF(A148=MATCH(TRUE,$Y$2:$Y$261,0),MAX($AB$2:$AB$261),IF(A148=MATCH(TRUE,$Y$2:$Y$261,0)-1,0,NA()))</f>
        <v/>
      </c>
      <c r="AE148" s="12">
        <f>IF(A148=MATCH(TRUE,$Z$2:$Z$261,0),MAX($AB$2:$AB$261),IF(A148=MATCH(TRUE,$Z$2:$Z$261,0)-1,0,NA()))</f>
        <v/>
      </c>
    </row>
    <row r="149">
      <c r="A149" t="n">
        <v>148</v>
      </c>
      <c r="B149" s="14">
        <f>Variables!$B$24+(A149-1)*7</f>
        <v/>
      </c>
      <c r="C149" s="12">
        <f>P148</f>
        <v/>
      </c>
      <c r="D149" s="12">
        <f>Q148</f>
        <v/>
      </c>
      <c r="E149" s="12">
        <f>C149+IF(A149&gt;Variables!$B$25,D149,0)</f>
        <v/>
      </c>
      <c r="F149" s="12">
        <f>C149+D149</f>
        <v/>
      </c>
      <c r="G149" s="11">
        <f>IF(A149&gt;Variables!$B$22,Variables!$B$12,0)</f>
        <v/>
      </c>
      <c r="H149" s="11">
        <f>IF(AND(A149&gt;Variables!$B$22,Variables!$B$14="Yes"),Variables!$B$13,0)</f>
        <v/>
      </c>
      <c r="I149" s="11">
        <f>IF(AA149&gt;Variables!$B$18,0,IF(AA149&gt;Variables!$B$19,CEILING((AA149-Variables!$B$19)/Variables!$B$21,1)*Variables!$B$20,0))</f>
        <v/>
      </c>
      <c r="J149" s="11">
        <f>IF(AA149&lt;=Variables!$B$18,MIN(Variables!$B$9-Variables!$B$8+I149,Variables!$B$26),0)</f>
        <v/>
      </c>
      <c r="K149" s="11">
        <f>IF(AA149&lt;=Variables!$B$18,Variables!$B$27,0)</f>
        <v/>
      </c>
      <c r="L149" s="11">
        <f>IF(AA149&gt;Variables!$B$18,G149+H149,Variables!$B$26-J149)</f>
        <v/>
      </c>
      <c r="M149" s="11">
        <f>IF(AA149&gt;Variables!$B$18,Variables!$B$2-G149-H149,J149+K149)</f>
        <v/>
      </c>
      <c r="N149" s="11">
        <f>Variables!$B$9-AC149</f>
        <v/>
      </c>
      <c r="O149" s="12">
        <f>F149+N149</f>
        <v/>
      </c>
      <c r="P149" s="12">
        <f>MAX(0,C149+N149)</f>
        <v/>
      </c>
      <c r="Q149" s="12">
        <f>D149+MIN(0,C149+N149)</f>
        <v/>
      </c>
      <c r="R149">
        <f>IF(AA149&gt;Variables!$B$18,"Self-funder",IF(AA149&gt;Variables!$B$19,"Tariff band - council contributing","Council pays standard rate"))</f>
        <v/>
      </c>
      <c r="S149" s="12">
        <f>Variables!$B$18</f>
        <v/>
      </c>
      <c r="T149" s="12">
        <f>Variables!$B$19</f>
        <v/>
      </c>
      <c r="U149">
        <f>AA149&lt;=Variables!$B$18</f>
        <v/>
      </c>
      <c r="V149">
        <f>AA149&lt;=Variables!$B$19</f>
        <v/>
      </c>
      <c r="W149">
        <f>P149&lt;=0</f>
        <v/>
      </c>
      <c r="X149" s="12">
        <f>Variables!$B$28</f>
        <v/>
      </c>
      <c r="Y149">
        <f>AB149&lt;=Variables!$B$28</f>
        <v/>
      </c>
      <c r="Z149">
        <f>AB149&lt;=Variables!$B$18</f>
        <v/>
      </c>
      <c r="AA149" s="12">
        <f>AB148</f>
        <v/>
      </c>
      <c r="AB149" s="12">
        <f>AA149+Variables!$B$9-M149</f>
        <v/>
      </c>
      <c r="AC149" s="11">
        <f>IF(MOD(A149-1,Variables!$B$30)=0,Variables!$B$30*M149,0)</f>
        <v/>
      </c>
      <c r="AD149" s="12">
        <f>IF(A149=MATCH(TRUE,$Y$2:$Y$261,0),MAX($AB$2:$AB$261),IF(A149=MATCH(TRUE,$Y$2:$Y$261,0)-1,0,NA()))</f>
        <v/>
      </c>
      <c r="AE149" s="12">
        <f>IF(A149=MATCH(TRUE,$Z$2:$Z$261,0),MAX($AB$2:$AB$261),IF(A149=MATCH(TRUE,$Z$2:$Z$261,0)-1,0,NA()))</f>
        <v/>
      </c>
    </row>
    <row r="150">
      <c r="A150" t="n">
        <v>149</v>
      </c>
      <c r="B150" s="14">
        <f>Variables!$B$24+(A150-1)*7</f>
        <v/>
      </c>
      <c r="C150" s="12">
        <f>P149</f>
        <v/>
      </c>
      <c r="D150" s="12">
        <f>Q149</f>
        <v/>
      </c>
      <c r="E150" s="12">
        <f>C150+IF(A150&gt;Variables!$B$25,D150,0)</f>
        <v/>
      </c>
      <c r="F150" s="12">
        <f>C150+D150</f>
        <v/>
      </c>
      <c r="G150" s="11">
        <f>IF(A150&gt;Variables!$B$22,Variables!$B$12,0)</f>
        <v/>
      </c>
      <c r="H150" s="11">
        <f>IF(AND(A150&gt;Variables!$B$22,Variables!$B$14="Yes"),Variables!$B$13,0)</f>
        <v/>
      </c>
      <c r="I150" s="11">
        <f>IF(AA150&gt;Variables!$B$18,0,IF(AA150&gt;Variables!$B$19,CEILING((AA150-Variables!$B$19)/Variables!$B$21,1)*Variables!$B$20,0))</f>
        <v/>
      </c>
      <c r="J150" s="11">
        <f>IF(AA150&lt;=Variables!$B$18,MIN(Variables!$B$9-Variables!$B$8+I150,Variables!$B$26),0)</f>
        <v/>
      </c>
      <c r="K150" s="11">
        <f>IF(AA150&lt;=Variables!$B$18,Variables!$B$27,0)</f>
        <v/>
      </c>
      <c r="L150" s="11">
        <f>IF(AA150&gt;Variables!$B$18,G150+H150,Variables!$B$26-J150)</f>
        <v/>
      </c>
      <c r="M150" s="11">
        <f>IF(AA150&gt;Variables!$B$18,Variables!$B$2-G150-H150,J150+K150)</f>
        <v/>
      </c>
      <c r="N150" s="11">
        <f>Variables!$B$9-AC150</f>
        <v/>
      </c>
      <c r="O150" s="12">
        <f>F150+N150</f>
        <v/>
      </c>
      <c r="P150" s="12">
        <f>MAX(0,C150+N150)</f>
        <v/>
      </c>
      <c r="Q150" s="12">
        <f>D150+MIN(0,C150+N150)</f>
        <v/>
      </c>
      <c r="R150">
        <f>IF(AA150&gt;Variables!$B$18,"Self-funder",IF(AA150&gt;Variables!$B$19,"Tariff band - council contributing","Council pays standard rate"))</f>
        <v/>
      </c>
      <c r="S150" s="12">
        <f>Variables!$B$18</f>
        <v/>
      </c>
      <c r="T150" s="12">
        <f>Variables!$B$19</f>
        <v/>
      </c>
      <c r="U150">
        <f>AA150&lt;=Variables!$B$18</f>
        <v/>
      </c>
      <c r="V150">
        <f>AA150&lt;=Variables!$B$19</f>
        <v/>
      </c>
      <c r="W150">
        <f>P150&lt;=0</f>
        <v/>
      </c>
      <c r="X150" s="12">
        <f>Variables!$B$28</f>
        <v/>
      </c>
      <c r="Y150">
        <f>AB150&lt;=Variables!$B$28</f>
        <v/>
      </c>
      <c r="Z150">
        <f>AB150&lt;=Variables!$B$18</f>
        <v/>
      </c>
      <c r="AA150" s="12">
        <f>AB149</f>
        <v/>
      </c>
      <c r="AB150" s="12">
        <f>AA150+Variables!$B$9-M150</f>
        <v/>
      </c>
      <c r="AC150" s="11">
        <f>IF(MOD(A150-1,Variables!$B$30)=0,Variables!$B$30*M150,0)</f>
        <v/>
      </c>
      <c r="AD150" s="12">
        <f>IF(A150=MATCH(TRUE,$Y$2:$Y$261,0),MAX($AB$2:$AB$261),IF(A150=MATCH(TRUE,$Y$2:$Y$261,0)-1,0,NA()))</f>
        <v/>
      </c>
      <c r="AE150" s="12">
        <f>IF(A150=MATCH(TRUE,$Z$2:$Z$261,0),MAX($AB$2:$AB$261),IF(A150=MATCH(TRUE,$Z$2:$Z$261,0)-1,0,NA()))</f>
        <v/>
      </c>
    </row>
    <row r="151">
      <c r="A151" t="n">
        <v>150</v>
      </c>
      <c r="B151" s="14">
        <f>Variables!$B$24+(A151-1)*7</f>
        <v/>
      </c>
      <c r="C151" s="12">
        <f>P150</f>
        <v/>
      </c>
      <c r="D151" s="12">
        <f>Q150</f>
        <v/>
      </c>
      <c r="E151" s="12">
        <f>C151+IF(A151&gt;Variables!$B$25,D151,0)</f>
        <v/>
      </c>
      <c r="F151" s="12">
        <f>C151+D151</f>
        <v/>
      </c>
      <c r="G151" s="11">
        <f>IF(A151&gt;Variables!$B$22,Variables!$B$12,0)</f>
        <v/>
      </c>
      <c r="H151" s="11">
        <f>IF(AND(A151&gt;Variables!$B$22,Variables!$B$14="Yes"),Variables!$B$13,0)</f>
        <v/>
      </c>
      <c r="I151" s="11">
        <f>IF(AA151&gt;Variables!$B$18,0,IF(AA151&gt;Variables!$B$19,CEILING((AA151-Variables!$B$19)/Variables!$B$21,1)*Variables!$B$20,0))</f>
        <v/>
      </c>
      <c r="J151" s="11">
        <f>IF(AA151&lt;=Variables!$B$18,MIN(Variables!$B$9-Variables!$B$8+I151,Variables!$B$26),0)</f>
        <v/>
      </c>
      <c r="K151" s="11">
        <f>IF(AA151&lt;=Variables!$B$18,Variables!$B$27,0)</f>
        <v/>
      </c>
      <c r="L151" s="11">
        <f>IF(AA151&gt;Variables!$B$18,G151+H151,Variables!$B$26-J151)</f>
        <v/>
      </c>
      <c r="M151" s="11">
        <f>IF(AA151&gt;Variables!$B$18,Variables!$B$2-G151-H151,J151+K151)</f>
        <v/>
      </c>
      <c r="N151" s="11">
        <f>Variables!$B$9-AC151</f>
        <v/>
      </c>
      <c r="O151" s="12">
        <f>F151+N151</f>
        <v/>
      </c>
      <c r="P151" s="12">
        <f>MAX(0,C151+N151)</f>
        <v/>
      </c>
      <c r="Q151" s="12">
        <f>D151+MIN(0,C151+N151)</f>
        <v/>
      </c>
      <c r="R151">
        <f>IF(AA151&gt;Variables!$B$18,"Self-funder",IF(AA151&gt;Variables!$B$19,"Tariff band - council contributing","Council pays standard rate"))</f>
        <v/>
      </c>
      <c r="S151" s="12">
        <f>Variables!$B$18</f>
        <v/>
      </c>
      <c r="T151" s="12">
        <f>Variables!$B$19</f>
        <v/>
      </c>
      <c r="U151">
        <f>AA151&lt;=Variables!$B$18</f>
        <v/>
      </c>
      <c r="V151">
        <f>AA151&lt;=Variables!$B$19</f>
        <v/>
      </c>
      <c r="W151">
        <f>P151&lt;=0</f>
        <v/>
      </c>
      <c r="X151" s="12">
        <f>Variables!$B$28</f>
        <v/>
      </c>
      <c r="Y151">
        <f>AB151&lt;=Variables!$B$28</f>
        <v/>
      </c>
      <c r="Z151">
        <f>AB151&lt;=Variables!$B$18</f>
        <v/>
      </c>
      <c r="AA151" s="12">
        <f>AB150</f>
        <v/>
      </c>
      <c r="AB151" s="12">
        <f>AA151+Variables!$B$9-M151</f>
        <v/>
      </c>
      <c r="AC151" s="11">
        <f>IF(MOD(A151-1,Variables!$B$30)=0,Variables!$B$30*M151,0)</f>
        <v/>
      </c>
      <c r="AD151" s="12">
        <f>IF(A151=MATCH(TRUE,$Y$2:$Y$261,0),MAX($AB$2:$AB$261),IF(A151=MATCH(TRUE,$Y$2:$Y$261,0)-1,0,NA()))</f>
        <v/>
      </c>
      <c r="AE151" s="12">
        <f>IF(A151=MATCH(TRUE,$Z$2:$Z$261,0),MAX($AB$2:$AB$261),IF(A151=MATCH(TRUE,$Z$2:$Z$261,0)-1,0,NA()))</f>
        <v/>
      </c>
    </row>
    <row r="152">
      <c r="A152" t="n">
        <v>151</v>
      </c>
      <c r="B152" s="14">
        <f>Variables!$B$24+(A152-1)*7</f>
        <v/>
      </c>
      <c r="C152" s="12">
        <f>P151</f>
        <v/>
      </c>
      <c r="D152" s="12">
        <f>Q151</f>
        <v/>
      </c>
      <c r="E152" s="12">
        <f>C152+IF(A152&gt;Variables!$B$25,D152,0)</f>
        <v/>
      </c>
      <c r="F152" s="12">
        <f>C152+D152</f>
        <v/>
      </c>
      <c r="G152" s="11">
        <f>IF(A152&gt;Variables!$B$22,Variables!$B$12,0)</f>
        <v/>
      </c>
      <c r="H152" s="11">
        <f>IF(AND(A152&gt;Variables!$B$22,Variables!$B$14="Yes"),Variables!$B$13,0)</f>
        <v/>
      </c>
      <c r="I152" s="11">
        <f>IF(AA152&gt;Variables!$B$18,0,IF(AA152&gt;Variables!$B$19,CEILING((AA152-Variables!$B$19)/Variables!$B$21,1)*Variables!$B$20,0))</f>
        <v/>
      </c>
      <c r="J152" s="11">
        <f>IF(AA152&lt;=Variables!$B$18,MIN(Variables!$B$9-Variables!$B$8+I152,Variables!$B$26),0)</f>
        <v/>
      </c>
      <c r="K152" s="11">
        <f>IF(AA152&lt;=Variables!$B$18,Variables!$B$27,0)</f>
        <v/>
      </c>
      <c r="L152" s="11">
        <f>IF(AA152&gt;Variables!$B$18,G152+H152,Variables!$B$26-J152)</f>
        <v/>
      </c>
      <c r="M152" s="11">
        <f>IF(AA152&gt;Variables!$B$18,Variables!$B$2-G152-H152,J152+K152)</f>
        <v/>
      </c>
      <c r="N152" s="11">
        <f>Variables!$B$9-AC152</f>
        <v/>
      </c>
      <c r="O152" s="12">
        <f>F152+N152</f>
        <v/>
      </c>
      <c r="P152" s="12">
        <f>MAX(0,C152+N152)</f>
        <v/>
      </c>
      <c r="Q152" s="12">
        <f>D152+MIN(0,C152+N152)</f>
        <v/>
      </c>
      <c r="R152">
        <f>IF(AA152&gt;Variables!$B$18,"Self-funder",IF(AA152&gt;Variables!$B$19,"Tariff band - council contributing","Council pays standard rate"))</f>
        <v/>
      </c>
      <c r="S152" s="12">
        <f>Variables!$B$18</f>
        <v/>
      </c>
      <c r="T152" s="12">
        <f>Variables!$B$19</f>
        <v/>
      </c>
      <c r="U152">
        <f>AA152&lt;=Variables!$B$18</f>
        <v/>
      </c>
      <c r="V152">
        <f>AA152&lt;=Variables!$B$19</f>
        <v/>
      </c>
      <c r="W152">
        <f>P152&lt;=0</f>
        <v/>
      </c>
      <c r="X152" s="12">
        <f>Variables!$B$28</f>
        <v/>
      </c>
      <c r="Y152">
        <f>AB152&lt;=Variables!$B$28</f>
        <v/>
      </c>
      <c r="Z152">
        <f>AB152&lt;=Variables!$B$18</f>
        <v/>
      </c>
      <c r="AA152" s="12">
        <f>AB151</f>
        <v/>
      </c>
      <c r="AB152" s="12">
        <f>AA152+Variables!$B$9-M152</f>
        <v/>
      </c>
      <c r="AC152" s="11">
        <f>IF(MOD(A152-1,Variables!$B$30)=0,Variables!$B$30*M152,0)</f>
        <v/>
      </c>
      <c r="AD152" s="12">
        <f>IF(A152=MATCH(TRUE,$Y$2:$Y$261,0),MAX($AB$2:$AB$261),IF(A152=MATCH(TRUE,$Y$2:$Y$261,0)-1,0,NA()))</f>
        <v/>
      </c>
      <c r="AE152" s="12">
        <f>IF(A152=MATCH(TRUE,$Z$2:$Z$261,0),MAX($AB$2:$AB$261),IF(A152=MATCH(TRUE,$Z$2:$Z$261,0)-1,0,NA()))</f>
        <v/>
      </c>
    </row>
    <row r="153">
      <c r="A153" t="n">
        <v>152</v>
      </c>
      <c r="B153" s="14">
        <f>Variables!$B$24+(A153-1)*7</f>
        <v/>
      </c>
      <c r="C153" s="12">
        <f>P152</f>
        <v/>
      </c>
      <c r="D153" s="12">
        <f>Q152</f>
        <v/>
      </c>
      <c r="E153" s="12">
        <f>C153+IF(A153&gt;Variables!$B$25,D153,0)</f>
        <v/>
      </c>
      <c r="F153" s="12">
        <f>C153+D153</f>
        <v/>
      </c>
      <c r="G153" s="11">
        <f>IF(A153&gt;Variables!$B$22,Variables!$B$12,0)</f>
        <v/>
      </c>
      <c r="H153" s="11">
        <f>IF(AND(A153&gt;Variables!$B$22,Variables!$B$14="Yes"),Variables!$B$13,0)</f>
        <v/>
      </c>
      <c r="I153" s="11">
        <f>IF(AA153&gt;Variables!$B$18,0,IF(AA153&gt;Variables!$B$19,CEILING((AA153-Variables!$B$19)/Variables!$B$21,1)*Variables!$B$20,0))</f>
        <v/>
      </c>
      <c r="J153" s="11">
        <f>IF(AA153&lt;=Variables!$B$18,MIN(Variables!$B$9-Variables!$B$8+I153,Variables!$B$26),0)</f>
        <v/>
      </c>
      <c r="K153" s="11">
        <f>IF(AA153&lt;=Variables!$B$18,Variables!$B$27,0)</f>
        <v/>
      </c>
      <c r="L153" s="11">
        <f>IF(AA153&gt;Variables!$B$18,G153+H153,Variables!$B$26-J153)</f>
        <v/>
      </c>
      <c r="M153" s="11">
        <f>IF(AA153&gt;Variables!$B$18,Variables!$B$2-G153-H153,J153+K153)</f>
        <v/>
      </c>
      <c r="N153" s="11">
        <f>Variables!$B$9-AC153</f>
        <v/>
      </c>
      <c r="O153" s="12">
        <f>F153+N153</f>
        <v/>
      </c>
      <c r="P153" s="12">
        <f>MAX(0,C153+N153)</f>
        <v/>
      </c>
      <c r="Q153" s="12">
        <f>D153+MIN(0,C153+N153)</f>
        <v/>
      </c>
      <c r="R153">
        <f>IF(AA153&gt;Variables!$B$18,"Self-funder",IF(AA153&gt;Variables!$B$19,"Tariff band - council contributing","Council pays standard rate"))</f>
        <v/>
      </c>
      <c r="S153" s="12">
        <f>Variables!$B$18</f>
        <v/>
      </c>
      <c r="T153" s="12">
        <f>Variables!$B$19</f>
        <v/>
      </c>
      <c r="U153">
        <f>AA153&lt;=Variables!$B$18</f>
        <v/>
      </c>
      <c r="V153">
        <f>AA153&lt;=Variables!$B$19</f>
        <v/>
      </c>
      <c r="W153">
        <f>P153&lt;=0</f>
        <v/>
      </c>
      <c r="X153" s="12">
        <f>Variables!$B$28</f>
        <v/>
      </c>
      <c r="Y153">
        <f>AB153&lt;=Variables!$B$28</f>
        <v/>
      </c>
      <c r="Z153">
        <f>AB153&lt;=Variables!$B$18</f>
        <v/>
      </c>
      <c r="AA153" s="12">
        <f>AB152</f>
        <v/>
      </c>
      <c r="AB153" s="12">
        <f>AA153+Variables!$B$9-M153</f>
        <v/>
      </c>
      <c r="AC153" s="11">
        <f>IF(MOD(A153-1,Variables!$B$30)=0,Variables!$B$30*M153,0)</f>
        <v/>
      </c>
      <c r="AD153" s="12">
        <f>IF(A153=MATCH(TRUE,$Y$2:$Y$261,0),MAX($AB$2:$AB$261),IF(A153=MATCH(TRUE,$Y$2:$Y$261,0)-1,0,NA()))</f>
        <v/>
      </c>
      <c r="AE153" s="12">
        <f>IF(A153=MATCH(TRUE,$Z$2:$Z$261,0),MAX($AB$2:$AB$261),IF(A153=MATCH(TRUE,$Z$2:$Z$261,0)-1,0,NA()))</f>
        <v/>
      </c>
    </row>
    <row r="154">
      <c r="A154" t="n">
        <v>153</v>
      </c>
      <c r="B154" s="14">
        <f>Variables!$B$24+(A154-1)*7</f>
        <v/>
      </c>
      <c r="C154" s="12">
        <f>P153</f>
        <v/>
      </c>
      <c r="D154" s="12">
        <f>Q153</f>
        <v/>
      </c>
      <c r="E154" s="12">
        <f>C154+IF(A154&gt;Variables!$B$25,D154,0)</f>
        <v/>
      </c>
      <c r="F154" s="12">
        <f>C154+D154</f>
        <v/>
      </c>
      <c r="G154" s="11">
        <f>IF(A154&gt;Variables!$B$22,Variables!$B$12,0)</f>
        <v/>
      </c>
      <c r="H154" s="11">
        <f>IF(AND(A154&gt;Variables!$B$22,Variables!$B$14="Yes"),Variables!$B$13,0)</f>
        <v/>
      </c>
      <c r="I154" s="11">
        <f>IF(AA154&gt;Variables!$B$18,0,IF(AA154&gt;Variables!$B$19,CEILING((AA154-Variables!$B$19)/Variables!$B$21,1)*Variables!$B$20,0))</f>
        <v/>
      </c>
      <c r="J154" s="11">
        <f>IF(AA154&lt;=Variables!$B$18,MIN(Variables!$B$9-Variables!$B$8+I154,Variables!$B$26),0)</f>
        <v/>
      </c>
      <c r="K154" s="11">
        <f>IF(AA154&lt;=Variables!$B$18,Variables!$B$27,0)</f>
        <v/>
      </c>
      <c r="L154" s="11">
        <f>IF(AA154&gt;Variables!$B$18,G154+H154,Variables!$B$26-J154)</f>
        <v/>
      </c>
      <c r="M154" s="11">
        <f>IF(AA154&gt;Variables!$B$18,Variables!$B$2-G154-H154,J154+K154)</f>
        <v/>
      </c>
      <c r="N154" s="11">
        <f>Variables!$B$9-AC154</f>
        <v/>
      </c>
      <c r="O154" s="12">
        <f>F154+N154</f>
        <v/>
      </c>
      <c r="P154" s="12">
        <f>MAX(0,C154+N154)</f>
        <v/>
      </c>
      <c r="Q154" s="12">
        <f>D154+MIN(0,C154+N154)</f>
        <v/>
      </c>
      <c r="R154">
        <f>IF(AA154&gt;Variables!$B$18,"Self-funder",IF(AA154&gt;Variables!$B$19,"Tariff band - council contributing","Council pays standard rate"))</f>
        <v/>
      </c>
      <c r="S154" s="12">
        <f>Variables!$B$18</f>
        <v/>
      </c>
      <c r="T154" s="12">
        <f>Variables!$B$19</f>
        <v/>
      </c>
      <c r="U154">
        <f>AA154&lt;=Variables!$B$18</f>
        <v/>
      </c>
      <c r="V154">
        <f>AA154&lt;=Variables!$B$19</f>
        <v/>
      </c>
      <c r="W154">
        <f>P154&lt;=0</f>
        <v/>
      </c>
      <c r="X154" s="12">
        <f>Variables!$B$28</f>
        <v/>
      </c>
      <c r="Y154">
        <f>AB154&lt;=Variables!$B$28</f>
        <v/>
      </c>
      <c r="Z154">
        <f>AB154&lt;=Variables!$B$18</f>
        <v/>
      </c>
      <c r="AA154" s="12">
        <f>AB153</f>
        <v/>
      </c>
      <c r="AB154" s="12">
        <f>AA154+Variables!$B$9-M154</f>
        <v/>
      </c>
      <c r="AC154" s="11">
        <f>IF(MOD(A154-1,Variables!$B$30)=0,Variables!$B$30*M154,0)</f>
        <v/>
      </c>
      <c r="AD154" s="12">
        <f>IF(A154=MATCH(TRUE,$Y$2:$Y$261,0),MAX($AB$2:$AB$261),IF(A154=MATCH(TRUE,$Y$2:$Y$261,0)-1,0,NA()))</f>
        <v/>
      </c>
      <c r="AE154" s="12">
        <f>IF(A154=MATCH(TRUE,$Z$2:$Z$261,0),MAX($AB$2:$AB$261),IF(A154=MATCH(TRUE,$Z$2:$Z$261,0)-1,0,NA()))</f>
        <v/>
      </c>
    </row>
    <row r="155">
      <c r="A155" t="n">
        <v>154</v>
      </c>
      <c r="B155" s="14">
        <f>Variables!$B$24+(A155-1)*7</f>
        <v/>
      </c>
      <c r="C155" s="12">
        <f>P154</f>
        <v/>
      </c>
      <c r="D155" s="12">
        <f>Q154</f>
        <v/>
      </c>
      <c r="E155" s="12">
        <f>C155+IF(A155&gt;Variables!$B$25,D155,0)</f>
        <v/>
      </c>
      <c r="F155" s="12">
        <f>C155+D155</f>
        <v/>
      </c>
      <c r="G155" s="11">
        <f>IF(A155&gt;Variables!$B$22,Variables!$B$12,0)</f>
        <v/>
      </c>
      <c r="H155" s="11">
        <f>IF(AND(A155&gt;Variables!$B$22,Variables!$B$14="Yes"),Variables!$B$13,0)</f>
        <v/>
      </c>
      <c r="I155" s="11">
        <f>IF(AA155&gt;Variables!$B$18,0,IF(AA155&gt;Variables!$B$19,CEILING((AA155-Variables!$B$19)/Variables!$B$21,1)*Variables!$B$20,0))</f>
        <v/>
      </c>
      <c r="J155" s="11">
        <f>IF(AA155&lt;=Variables!$B$18,MIN(Variables!$B$9-Variables!$B$8+I155,Variables!$B$26),0)</f>
        <v/>
      </c>
      <c r="K155" s="11">
        <f>IF(AA155&lt;=Variables!$B$18,Variables!$B$27,0)</f>
        <v/>
      </c>
      <c r="L155" s="11">
        <f>IF(AA155&gt;Variables!$B$18,G155+H155,Variables!$B$26-J155)</f>
        <v/>
      </c>
      <c r="M155" s="11">
        <f>IF(AA155&gt;Variables!$B$18,Variables!$B$2-G155-H155,J155+K155)</f>
        <v/>
      </c>
      <c r="N155" s="11">
        <f>Variables!$B$9-AC155</f>
        <v/>
      </c>
      <c r="O155" s="12">
        <f>F155+N155</f>
        <v/>
      </c>
      <c r="P155" s="12">
        <f>MAX(0,C155+N155)</f>
        <v/>
      </c>
      <c r="Q155" s="12">
        <f>D155+MIN(0,C155+N155)</f>
        <v/>
      </c>
      <c r="R155">
        <f>IF(AA155&gt;Variables!$B$18,"Self-funder",IF(AA155&gt;Variables!$B$19,"Tariff band - council contributing","Council pays standard rate"))</f>
        <v/>
      </c>
      <c r="S155" s="12">
        <f>Variables!$B$18</f>
        <v/>
      </c>
      <c r="T155" s="12">
        <f>Variables!$B$19</f>
        <v/>
      </c>
      <c r="U155">
        <f>AA155&lt;=Variables!$B$18</f>
        <v/>
      </c>
      <c r="V155">
        <f>AA155&lt;=Variables!$B$19</f>
        <v/>
      </c>
      <c r="W155">
        <f>P155&lt;=0</f>
        <v/>
      </c>
      <c r="X155" s="12">
        <f>Variables!$B$28</f>
        <v/>
      </c>
      <c r="Y155">
        <f>AB155&lt;=Variables!$B$28</f>
        <v/>
      </c>
      <c r="Z155">
        <f>AB155&lt;=Variables!$B$18</f>
        <v/>
      </c>
      <c r="AA155" s="12">
        <f>AB154</f>
        <v/>
      </c>
      <c r="AB155" s="12">
        <f>AA155+Variables!$B$9-M155</f>
        <v/>
      </c>
      <c r="AC155" s="11">
        <f>IF(MOD(A155-1,Variables!$B$30)=0,Variables!$B$30*M155,0)</f>
        <v/>
      </c>
      <c r="AD155" s="12">
        <f>IF(A155=MATCH(TRUE,$Y$2:$Y$261,0),MAX($AB$2:$AB$261),IF(A155=MATCH(TRUE,$Y$2:$Y$261,0)-1,0,NA()))</f>
        <v/>
      </c>
      <c r="AE155" s="12">
        <f>IF(A155=MATCH(TRUE,$Z$2:$Z$261,0),MAX($AB$2:$AB$261),IF(A155=MATCH(TRUE,$Z$2:$Z$261,0)-1,0,NA()))</f>
        <v/>
      </c>
    </row>
    <row r="156">
      <c r="A156" t="n">
        <v>155</v>
      </c>
      <c r="B156" s="14">
        <f>Variables!$B$24+(A156-1)*7</f>
        <v/>
      </c>
      <c r="C156" s="12">
        <f>P155</f>
        <v/>
      </c>
      <c r="D156" s="12">
        <f>Q155</f>
        <v/>
      </c>
      <c r="E156" s="12">
        <f>C156+IF(A156&gt;Variables!$B$25,D156,0)</f>
        <v/>
      </c>
      <c r="F156" s="12">
        <f>C156+D156</f>
        <v/>
      </c>
      <c r="G156" s="11">
        <f>IF(A156&gt;Variables!$B$22,Variables!$B$12,0)</f>
        <v/>
      </c>
      <c r="H156" s="11">
        <f>IF(AND(A156&gt;Variables!$B$22,Variables!$B$14="Yes"),Variables!$B$13,0)</f>
        <v/>
      </c>
      <c r="I156" s="11">
        <f>IF(AA156&gt;Variables!$B$18,0,IF(AA156&gt;Variables!$B$19,CEILING((AA156-Variables!$B$19)/Variables!$B$21,1)*Variables!$B$20,0))</f>
        <v/>
      </c>
      <c r="J156" s="11">
        <f>IF(AA156&lt;=Variables!$B$18,MIN(Variables!$B$9-Variables!$B$8+I156,Variables!$B$26),0)</f>
        <v/>
      </c>
      <c r="K156" s="11">
        <f>IF(AA156&lt;=Variables!$B$18,Variables!$B$27,0)</f>
        <v/>
      </c>
      <c r="L156" s="11">
        <f>IF(AA156&gt;Variables!$B$18,G156+H156,Variables!$B$26-J156)</f>
        <v/>
      </c>
      <c r="M156" s="11">
        <f>IF(AA156&gt;Variables!$B$18,Variables!$B$2-G156-H156,J156+K156)</f>
        <v/>
      </c>
      <c r="N156" s="11">
        <f>Variables!$B$9-AC156</f>
        <v/>
      </c>
      <c r="O156" s="12">
        <f>F156+N156</f>
        <v/>
      </c>
      <c r="P156" s="12">
        <f>MAX(0,C156+N156)</f>
        <v/>
      </c>
      <c r="Q156" s="12">
        <f>D156+MIN(0,C156+N156)</f>
        <v/>
      </c>
      <c r="R156">
        <f>IF(AA156&gt;Variables!$B$18,"Self-funder",IF(AA156&gt;Variables!$B$19,"Tariff band - council contributing","Council pays standard rate"))</f>
        <v/>
      </c>
      <c r="S156" s="12">
        <f>Variables!$B$18</f>
        <v/>
      </c>
      <c r="T156" s="12">
        <f>Variables!$B$19</f>
        <v/>
      </c>
      <c r="U156">
        <f>AA156&lt;=Variables!$B$18</f>
        <v/>
      </c>
      <c r="V156">
        <f>AA156&lt;=Variables!$B$19</f>
        <v/>
      </c>
      <c r="W156">
        <f>P156&lt;=0</f>
        <v/>
      </c>
      <c r="X156" s="12">
        <f>Variables!$B$28</f>
        <v/>
      </c>
      <c r="Y156">
        <f>AB156&lt;=Variables!$B$28</f>
        <v/>
      </c>
      <c r="Z156">
        <f>AB156&lt;=Variables!$B$18</f>
        <v/>
      </c>
      <c r="AA156" s="12">
        <f>AB155</f>
        <v/>
      </c>
      <c r="AB156" s="12">
        <f>AA156+Variables!$B$9-M156</f>
        <v/>
      </c>
      <c r="AC156" s="11">
        <f>IF(MOD(A156-1,Variables!$B$30)=0,Variables!$B$30*M156,0)</f>
        <v/>
      </c>
      <c r="AD156" s="12">
        <f>IF(A156=MATCH(TRUE,$Y$2:$Y$261,0),MAX($AB$2:$AB$261),IF(A156=MATCH(TRUE,$Y$2:$Y$261,0)-1,0,NA()))</f>
        <v/>
      </c>
      <c r="AE156" s="12">
        <f>IF(A156=MATCH(TRUE,$Z$2:$Z$261,0),MAX($AB$2:$AB$261),IF(A156=MATCH(TRUE,$Z$2:$Z$261,0)-1,0,NA()))</f>
        <v/>
      </c>
    </row>
    <row r="157">
      <c r="A157" t="n">
        <v>156</v>
      </c>
      <c r="B157" s="14">
        <f>Variables!$B$24+(A157-1)*7</f>
        <v/>
      </c>
      <c r="C157" s="12">
        <f>P156</f>
        <v/>
      </c>
      <c r="D157" s="12">
        <f>Q156</f>
        <v/>
      </c>
      <c r="E157" s="12">
        <f>C157+IF(A157&gt;Variables!$B$25,D157,0)</f>
        <v/>
      </c>
      <c r="F157" s="12">
        <f>C157+D157</f>
        <v/>
      </c>
      <c r="G157" s="11">
        <f>IF(A157&gt;Variables!$B$22,Variables!$B$12,0)</f>
        <v/>
      </c>
      <c r="H157" s="11">
        <f>IF(AND(A157&gt;Variables!$B$22,Variables!$B$14="Yes"),Variables!$B$13,0)</f>
        <v/>
      </c>
      <c r="I157" s="11">
        <f>IF(AA157&gt;Variables!$B$18,0,IF(AA157&gt;Variables!$B$19,CEILING((AA157-Variables!$B$19)/Variables!$B$21,1)*Variables!$B$20,0))</f>
        <v/>
      </c>
      <c r="J157" s="11">
        <f>IF(AA157&lt;=Variables!$B$18,MIN(Variables!$B$9-Variables!$B$8+I157,Variables!$B$26),0)</f>
        <v/>
      </c>
      <c r="K157" s="11">
        <f>IF(AA157&lt;=Variables!$B$18,Variables!$B$27,0)</f>
        <v/>
      </c>
      <c r="L157" s="11">
        <f>IF(AA157&gt;Variables!$B$18,G157+H157,Variables!$B$26-J157)</f>
        <v/>
      </c>
      <c r="M157" s="11">
        <f>IF(AA157&gt;Variables!$B$18,Variables!$B$2-G157-H157,J157+K157)</f>
        <v/>
      </c>
      <c r="N157" s="11">
        <f>Variables!$B$9-AC157</f>
        <v/>
      </c>
      <c r="O157" s="12">
        <f>F157+N157</f>
        <v/>
      </c>
      <c r="P157" s="12">
        <f>MAX(0,C157+N157)</f>
        <v/>
      </c>
      <c r="Q157" s="12">
        <f>D157+MIN(0,C157+N157)</f>
        <v/>
      </c>
      <c r="R157">
        <f>IF(AA157&gt;Variables!$B$18,"Self-funder",IF(AA157&gt;Variables!$B$19,"Tariff band - council contributing","Council pays standard rate"))</f>
        <v/>
      </c>
      <c r="S157" s="12">
        <f>Variables!$B$18</f>
        <v/>
      </c>
      <c r="T157" s="12">
        <f>Variables!$B$19</f>
        <v/>
      </c>
      <c r="U157">
        <f>AA157&lt;=Variables!$B$18</f>
        <v/>
      </c>
      <c r="V157">
        <f>AA157&lt;=Variables!$B$19</f>
        <v/>
      </c>
      <c r="W157">
        <f>P157&lt;=0</f>
        <v/>
      </c>
      <c r="X157" s="12">
        <f>Variables!$B$28</f>
        <v/>
      </c>
      <c r="Y157">
        <f>AB157&lt;=Variables!$B$28</f>
        <v/>
      </c>
      <c r="Z157">
        <f>AB157&lt;=Variables!$B$18</f>
        <v/>
      </c>
      <c r="AA157" s="12">
        <f>AB156</f>
        <v/>
      </c>
      <c r="AB157" s="12">
        <f>AA157+Variables!$B$9-M157</f>
        <v/>
      </c>
      <c r="AC157" s="11">
        <f>IF(MOD(A157-1,Variables!$B$30)=0,Variables!$B$30*M157,0)</f>
        <v/>
      </c>
      <c r="AD157" s="12">
        <f>IF(A157=MATCH(TRUE,$Y$2:$Y$261,0),MAX($AB$2:$AB$261),IF(A157=MATCH(TRUE,$Y$2:$Y$261,0)-1,0,NA()))</f>
        <v/>
      </c>
      <c r="AE157" s="12">
        <f>IF(A157=MATCH(TRUE,$Z$2:$Z$261,0),MAX($AB$2:$AB$261),IF(A157=MATCH(TRUE,$Z$2:$Z$261,0)-1,0,NA()))</f>
        <v/>
      </c>
    </row>
    <row r="158">
      <c r="A158" t="n">
        <v>157</v>
      </c>
      <c r="B158" s="14">
        <f>Variables!$B$24+(A158-1)*7</f>
        <v/>
      </c>
      <c r="C158" s="12">
        <f>P157</f>
        <v/>
      </c>
      <c r="D158" s="12">
        <f>Q157</f>
        <v/>
      </c>
      <c r="E158" s="12">
        <f>C158+IF(A158&gt;Variables!$B$25,D158,0)</f>
        <v/>
      </c>
      <c r="F158" s="12">
        <f>C158+D158</f>
        <v/>
      </c>
      <c r="G158" s="11">
        <f>IF(A158&gt;Variables!$B$22,Variables!$B$12,0)</f>
        <v/>
      </c>
      <c r="H158" s="11">
        <f>IF(AND(A158&gt;Variables!$B$22,Variables!$B$14="Yes"),Variables!$B$13,0)</f>
        <v/>
      </c>
      <c r="I158" s="11">
        <f>IF(AA158&gt;Variables!$B$18,0,IF(AA158&gt;Variables!$B$19,CEILING((AA158-Variables!$B$19)/Variables!$B$21,1)*Variables!$B$20,0))</f>
        <v/>
      </c>
      <c r="J158" s="11">
        <f>IF(AA158&lt;=Variables!$B$18,MIN(Variables!$B$9-Variables!$B$8+I158,Variables!$B$26),0)</f>
        <v/>
      </c>
      <c r="K158" s="11">
        <f>IF(AA158&lt;=Variables!$B$18,Variables!$B$27,0)</f>
        <v/>
      </c>
      <c r="L158" s="11">
        <f>IF(AA158&gt;Variables!$B$18,G158+H158,Variables!$B$26-J158)</f>
        <v/>
      </c>
      <c r="M158" s="11">
        <f>IF(AA158&gt;Variables!$B$18,Variables!$B$2-G158-H158,J158+K158)</f>
        <v/>
      </c>
      <c r="N158" s="11">
        <f>Variables!$B$9-AC158</f>
        <v/>
      </c>
      <c r="O158" s="12">
        <f>F158+N158</f>
        <v/>
      </c>
      <c r="P158" s="12">
        <f>MAX(0,C158+N158)</f>
        <v/>
      </c>
      <c r="Q158" s="12">
        <f>D158+MIN(0,C158+N158)</f>
        <v/>
      </c>
      <c r="R158">
        <f>IF(AA158&gt;Variables!$B$18,"Self-funder",IF(AA158&gt;Variables!$B$19,"Tariff band - council contributing","Council pays standard rate"))</f>
        <v/>
      </c>
      <c r="S158" s="12">
        <f>Variables!$B$18</f>
        <v/>
      </c>
      <c r="T158" s="12">
        <f>Variables!$B$19</f>
        <v/>
      </c>
      <c r="U158">
        <f>AA158&lt;=Variables!$B$18</f>
        <v/>
      </c>
      <c r="V158">
        <f>AA158&lt;=Variables!$B$19</f>
        <v/>
      </c>
      <c r="W158">
        <f>P158&lt;=0</f>
        <v/>
      </c>
      <c r="X158" s="12">
        <f>Variables!$B$28</f>
        <v/>
      </c>
      <c r="Y158">
        <f>AB158&lt;=Variables!$B$28</f>
        <v/>
      </c>
      <c r="Z158">
        <f>AB158&lt;=Variables!$B$18</f>
        <v/>
      </c>
      <c r="AA158" s="12">
        <f>AB157</f>
        <v/>
      </c>
      <c r="AB158" s="12">
        <f>AA158+Variables!$B$9-M158</f>
        <v/>
      </c>
      <c r="AC158" s="11">
        <f>IF(MOD(A158-1,Variables!$B$30)=0,Variables!$B$30*M158,0)</f>
        <v/>
      </c>
      <c r="AD158" s="12">
        <f>IF(A158=MATCH(TRUE,$Y$2:$Y$261,0),MAX($AB$2:$AB$261),IF(A158=MATCH(TRUE,$Y$2:$Y$261,0)-1,0,NA()))</f>
        <v/>
      </c>
      <c r="AE158" s="12">
        <f>IF(A158=MATCH(TRUE,$Z$2:$Z$261,0),MAX($AB$2:$AB$261),IF(A158=MATCH(TRUE,$Z$2:$Z$261,0)-1,0,NA()))</f>
        <v/>
      </c>
    </row>
    <row r="159">
      <c r="A159" t="n">
        <v>158</v>
      </c>
      <c r="B159" s="14">
        <f>Variables!$B$24+(A159-1)*7</f>
        <v/>
      </c>
      <c r="C159" s="12">
        <f>P158</f>
        <v/>
      </c>
      <c r="D159" s="12">
        <f>Q158</f>
        <v/>
      </c>
      <c r="E159" s="12">
        <f>C159+IF(A159&gt;Variables!$B$25,D159,0)</f>
        <v/>
      </c>
      <c r="F159" s="12">
        <f>C159+D159</f>
        <v/>
      </c>
      <c r="G159" s="11">
        <f>IF(A159&gt;Variables!$B$22,Variables!$B$12,0)</f>
        <v/>
      </c>
      <c r="H159" s="11">
        <f>IF(AND(A159&gt;Variables!$B$22,Variables!$B$14="Yes"),Variables!$B$13,0)</f>
        <v/>
      </c>
      <c r="I159" s="11">
        <f>IF(AA159&gt;Variables!$B$18,0,IF(AA159&gt;Variables!$B$19,CEILING((AA159-Variables!$B$19)/Variables!$B$21,1)*Variables!$B$20,0))</f>
        <v/>
      </c>
      <c r="J159" s="11">
        <f>IF(AA159&lt;=Variables!$B$18,MIN(Variables!$B$9-Variables!$B$8+I159,Variables!$B$26),0)</f>
        <v/>
      </c>
      <c r="K159" s="11">
        <f>IF(AA159&lt;=Variables!$B$18,Variables!$B$27,0)</f>
        <v/>
      </c>
      <c r="L159" s="11">
        <f>IF(AA159&gt;Variables!$B$18,G159+H159,Variables!$B$26-J159)</f>
        <v/>
      </c>
      <c r="M159" s="11">
        <f>IF(AA159&gt;Variables!$B$18,Variables!$B$2-G159-H159,J159+K159)</f>
        <v/>
      </c>
      <c r="N159" s="11">
        <f>Variables!$B$9-AC159</f>
        <v/>
      </c>
      <c r="O159" s="12">
        <f>F159+N159</f>
        <v/>
      </c>
      <c r="P159" s="12">
        <f>MAX(0,C159+N159)</f>
        <v/>
      </c>
      <c r="Q159" s="12">
        <f>D159+MIN(0,C159+N159)</f>
        <v/>
      </c>
      <c r="R159">
        <f>IF(AA159&gt;Variables!$B$18,"Self-funder",IF(AA159&gt;Variables!$B$19,"Tariff band - council contributing","Council pays standard rate"))</f>
        <v/>
      </c>
      <c r="S159" s="12">
        <f>Variables!$B$18</f>
        <v/>
      </c>
      <c r="T159" s="12">
        <f>Variables!$B$19</f>
        <v/>
      </c>
      <c r="U159">
        <f>AA159&lt;=Variables!$B$18</f>
        <v/>
      </c>
      <c r="V159">
        <f>AA159&lt;=Variables!$B$19</f>
        <v/>
      </c>
      <c r="W159">
        <f>P159&lt;=0</f>
        <v/>
      </c>
      <c r="X159" s="12">
        <f>Variables!$B$28</f>
        <v/>
      </c>
      <c r="Y159">
        <f>AB159&lt;=Variables!$B$28</f>
        <v/>
      </c>
      <c r="Z159">
        <f>AB159&lt;=Variables!$B$18</f>
        <v/>
      </c>
      <c r="AA159" s="12">
        <f>AB158</f>
        <v/>
      </c>
      <c r="AB159" s="12">
        <f>AA159+Variables!$B$9-M159</f>
        <v/>
      </c>
      <c r="AC159" s="11">
        <f>IF(MOD(A159-1,Variables!$B$30)=0,Variables!$B$30*M159,0)</f>
        <v/>
      </c>
      <c r="AD159" s="12">
        <f>IF(A159=MATCH(TRUE,$Y$2:$Y$261,0),MAX($AB$2:$AB$261),IF(A159=MATCH(TRUE,$Y$2:$Y$261,0)-1,0,NA()))</f>
        <v/>
      </c>
      <c r="AE159" s="12">
        <f>IF(A159=MATCH(TRUE,$Z$2:$Z$261,0),MAX($AB$2:$AB$261),IF(A159=MATCH(TRUE,$Z$2:$Z$261,0)-1,0,NA()))</f>
        <v/>
      </c>
    </row>
    <row r="160">
      <c r="A160" t="n">
        <v>159</v>
      </c>
      <c r="B160" s="14">
        <f>Variables!$B$24+(A160-1)*7</f>
        <v/>
      </c>
      <c r="C160" s="12">
        <f>P159</f>
        <v/>
      </c>
      <c r="D160" s="12">
        <f>Q159</f>
        <v/>
      </c>
      <c r="E160" s="12">
        <f>C160+IF(A160&gt;Variables!$B$25,D160,0)</f>
        <v/>
      </c>
      <c r="F160" s="12">
        <f>C160+D160</f>
        <v/>
      </c>
      <c r="G160" s="11">
        <f>IF(A160&gt;Variables!$B$22,Variables!$B$12,0)</f>
        <v/>
      </c>
      <c r="H160" s="11">
        <f>IF(AND(A160&gt;Variables!$B$22,Variables!$B$14="Yes"),Variables!$B$13,0)</f>
        <v/>
      </c>
      <c r="I160" s="11">
        <f>IF(AA160&gt;Variables!$B$18,0,IF(AA160&gt;Variables!$B$19,CEILING((AA160-Variables!$B$19)/Variables!$B$21,1)*Variables!$B$20,0))</f>
        <v/>
      </c>
      <c r="J160" s="11">
        <f>IF(AA160&lt;=Variables!$B$18,MIN(Variables!$B$9-Variables!$B$8+I160,Variables!$B$26),0)</f>
        <v/>
      </c>
      <c r="K160" s="11">
        <f>IF(AA160&lt;=Variables!$B$18,Variables!$B$27,0)</f>
        <v/>
      </c>
      <c r="L160" s="11">
        <f>IF(AA160&gt;Variables!$B$18,G160+H160,Variables!$B$26-J160)</f>
        <v/>
      </c>
      <c r="M160" s="11">
        <f>IF(AA160&gt;Variables!$B$18,Variables!$B$2-G160-H160,J160+K160)</f>
        <v/>
      </c>
      <c r="N160" s="11">
        <f>Variables!$B$9-AC160</f>
        <v/>
      </c>
      <c r="O160" s="12">
        <f>F160+N160</f>
        <v/>
      </c>
      <c r="P160" s="12">
        <f>MAX(0,C160+N160)</f>
        <v/>
      </c>
      <c r="Q160" s="12">
        <f>D160+MIN(0,C160+N160)</f>
        <v/>
      </c>
      <c r="R160">
        <f>IF(AA160&gt;Variables!$B$18,"Self-funder",IF(AA160&gt;Variables!$B$19,"Tariff band - council contributing","Council pays standard rate"))</f>
        <v/>
      </c>
      <c r="S160" s="12">
        <f>Variables!$B$18</f>
        <v/>
      </c>
      <c r="T160" s="12">
        <f>Variables!$B$19</f>
        <v/>
      </c>
      <c r="U160">
        <f>AA160&lt;=Variables!$B$18</f>
        <v/>
      </c>
      <c r="V160">
        <f>AA160&lt;=Variables!$B$19</f>
        <v/>
      </c>
      <c r="W160">
        <f>P160&lt;=0</f>
        <v/>
      </c>
      <c r="X160" s="12">
        <f>Variables!$B$28</f>
        <v/>
      </c>
      <c r="Y160">
        <f>AB160&lt;=Variables!$B$28</f>
        <v/>
      </c>
      <c r="Z160">
        <f>AB160&lt;=Variables!$B$18</f>
        <v/>
      </c>
      <c r="AA160" s="12">
        <f>AB159</f>
        <v/>
      </c>
      <c r="AB160" s="12">
        <f>AA160+Variables!$B$9-M160</f>
        <v/>
      </c>
      <c r="AC160" s="11">
        <f>IF(MOD(A160-1,Variables!$B$30)=0,Variables!$B$30*M160,0)</f>
        <v/>
      </c>
      <c r="AD160" s="12">
        <f>IF(A160=MATCH(TRUE,$Y$2:$Y$261,0),MAX($AB$2:$AB$261),IF(A160=MATCH(TRUE,$Y$2:$Y$261,0)-1,0,NA()))</f>
        <v/>
      </c>
      <c r="AE160" s="12">
        <f>IF(A160=MATCH(TRUE,$Z$2:$Z$261,0),MAX($AB$2:$AB$261),IF(A160=MATCH(TRUE,$Z$2:$Z$261,0)-1,0,NA()))</f>
        <v/>
      </c>
    </row>
    <row r="161">
      <c r="A161" t="n">
        <v>160</v>
      </c>
      <c r="B161" s="14">
        <f>Variables!$B$24+(A161-1)*7</f>
        <v/>
      </c>
      <c r="C161" s="12">
        <f>P160</f>
        <v/>
      </c>
      <c r="D161" s="12">
        <f>Q160</f>
        <v/>
      </c>
      <c r="E161" s="12">
        <f>C161+IF(A161&gt;Variables!$B$25,D161,0)</f>
        <v/>
      </c>
      <c r="F161" s="12">
        <f>C161+D161</f>
        <v/>
      </c>
      <c r="G161" s="11">
        <f>IF(A161&gt;Variables!$B$22,Variables!$B$12,0)</f>
        <v/>
      </c>
      <c r="H161" s="11">
        <f>IF(AND(A161&gt;Variables!$B$22,Variables!$B$14="Yes"),Variables!$B$13,0)</f>
        <v/>
      </c>
      <c r="I161" s="11">
        <f>IF(AA161&gt;Variables!$B$18,0,IF(AA161&gt;Variables!$B$19,CEILING((AA161-Variables!$B$19)/Variables!$B$21,1)*Variables!$B$20,0))</f>
        <v/>
      </c>
      <c r="J161" s="11">
        <f>IF(AA161&lt;=Variables!$B$18,MIN(Variables!$B$9-Variables!$B$8+I161,Variables!$B$26),0)</f>
        <v/>
      </c>
      <c r="K161" s="11">
        <f>IF(AA161&lt;=Variables!$B$18,Variables!$B$27,0)</f>
        <v/>
      </c>
      <c r="L161" s="11">
        <f>IF(AA161&gt;Variables!$B$18,G161+H161,Variables!$B$26-J161)</f>
        <v/>
      </c>
      <c r="M161" s="11">
        <f>IF(AA161&gt;Variables!$B$18,Variables!$B$2-G161-H161,J161+K161)</f>
        <v/>
      </c>
      <c r="N161" s="11">
        <f>Variables!$B$9-AC161</f>
        <v/>
      </c>
      <c r="O161" s="12">
        <f>F161+N161</f>
        <v/>
      </c>
      <c r="P161" s="12">
        <f>MAX(0,C161+N161)</f>
        <v/>
      </c>
      <c r="Q161" s="12">
        <f>D161+MIN(0,C161+N161)</f>
        <v/>
      </c>
      <c r="R161">
        <f>IF(AA161&gt;Variables!$B$18,"Self-funder",IF(AA161&gt;Variables!$B$19,"Tariff band - council contributing","Council pays standard rate"))</f>
        <v/>
      </c>
      <c r="S161" s="12">
        <f>Variables!$B$18</f>
        <v/>
      </c>
      <c r="T161" s="12">
        <f>Variables!$B$19</f>
        <v/>
      </c>
      <c r="U161">
        <f>AA161&lt;=Variables!$B$18</f>
        <v/>
      </c>
      <c r="V161">
        <f>AA161&lt;=Variables!$B$19</f>
        <v/>
      </c>
      <c r="W161">
        <f>P161&lt;=0</f>
        <v/>
      </c>
      <c r="X161" s="12">
        <f>Variables!$B$28</f>
        <v/>
      </c>
      <c r="Y161">
        <f>AB161&lt;=Variables!$B$28</f>
        <v/>
      </c>
      <c r="Z161">
        <f>AB161&lt;=Variables!$B$18</f>
        <v/>
      </c>
      <c r="AA161" s="12">
        <f>AB160</f>
        <v/>
      </c>
      <c r="AB161" s="12">
        <f>AA161+Variables!$B$9-M161</f>
        <v/>
      </c>
      <c r="AC161" s="11">
        <f>IF(MOD(A161-1,Variables!$B$30)=0,Variables!$B$30*M161,0)</f>
        <v/>
      </c>
      <c r="AD161" s="12">
        <f>IF(A161=MATCH(TRUE,$Y$2:$Y$261,0),MAX($AB$2:$AB$261),IF(A161=MATCH(TRUE,$Y$2:$Y$261,0)-1,0,NA()))</f>
        <v/>
      </c>
      <c r="AE161" s="12">
        <f>IF(A161=MATCH(TRUE,$Z$2:$Z$261,0),MAX($AB$2:$AB$261),IF(A161=MATCH(TRUE,$Z$2:$Z$261,0)-1,0,NA()))</f>
        <v/>
      </c>
    </row>
    <row r="162">
      <c r="A162" t="n">
        <v>161</v>
      </c>
      <c r="B162" s="14">
        <f>Variables!$B$24+(A162-1)*7</f>
        <v/>
      </c>
      <c r="C162" s="12">
        <f>P161</f>
        <v/>
      </c>
      <c r="D162" s="12">
        <f>Q161</f>
        <v/>
      </c>
      <c r="E162" s="12">
        <f>C162+IF(A162&gt;Variables!$B$25,D162,0)</f>
        <v/>
      </c>
      <c r="F162" s="12">
        <f>C162+D162</f>
        <v/>
      </c>
      <c r="G162" s="11">
        <f>IF(A162&gt;Variables!$B$22,Variables!$B$12,0)</f>
        <v/>
      </c>
      <c r="H162" s="11">
        <f>IF(AND(A162&gt;Variables!$B$22,Variables!$B$14="Yes"),Variables!$B$13,0)</f>
        <v/>
      </c>
      <c r="I162" s="11">
        <f>IF(AA162&gt;Variables!$B$18,0,IF(AA162&gt;Variables!$B$19,CEILING((AA162-Variables!$B$19)/Variables!$B$21,1)*Variables!$B$20,0))</f>
        <v/>
      </c>
      <c r="J162" s="11">
        <f>IF(AA162&lt;=Variables!$B$18,MIN(Variables!$B$9-Variables!$B$8+I162,Variables!$B$26),0)</f>
        <v/>
      </c>
      <c r="K162" s="11">
        <f>IF(AA162&lt;=Variables!$B$18,Variables!$B$27,0)</f>
        <v/>
      </c>
      <c r="L162" s="11">
        <f>IF(AA162&gt;Variables!$B$18,G162+H162,Variables!$B$26-J162)</f>
        <v/>
      </c>
      <c r="M162" s="11">
        <f>IF(AA162&gt;Variables!$B$18,Variables!$B$2-G162-H162,J162+K162)</f>
        <v/>
      </c>
      <c r="N162" s="11">
        <f>Variables!$B$9-AC162</f>
        <v/>
      </c>
      <c r="O162" s="12">
        <f>F162+N162</f>
        <v/>
      </c>
      <c r="P162" s="12">
        <f>MAX(0,C162+N162)</f>
        <v/>
      </c>
      <c r="Q162" s="12">
        <f>D162+MIN(0,C162+N162)</f>
        <v/>
      </c>
      <c r="R162">
        <f>IF(AA162&gt;Variables!$B$18,"Self-funder",IF(AA162&gt;Variables!$B$19,"Tariff band - council contributing","Council pays standard rate"))</f>
        <v/>
      </c>
      <c r="S162" s="12">
        <f>Variables!$B$18</f>
        <v/>
      </c>
      <c r="T162" s="12">
        <f>Variables!$B$19</f>
        <v/>
      </c>
      <c r="U162">
        <f>AA162&lt;=Variables!$B$18</f>
        <v/>
      </c>
      <c r="V162">
        <f>AA162&lt;=Variables!$B$19</f>
        <v/>
      </c>
      <c r="W162">
        <f>P162&lt;=0</f>
        <v/>
      </c>
      <c r="X162" s="12">
        <f>Variables!$B$28</f>
        <v/>
      </c>
      <c r="Y162">
        <f>AB162&lt;=Variables!$B$28</f>
        <v/>
      </c>
      <c r="Z162">
        <f>AB162&lt;=Variables!$B$18</f>
        <v/>
      </c>
      <c r="AA162" s="12">
        <f>AB161</f>
        <v/>
      </c>
      <c r="AB162" s="12">
        <f>AA162+Variables!$B$9-M162</f>
        <v/>
      </c>
      <c r="AC162" s="11">
        <f>IF(MOD(A162-1,Variables!$B$30)=0,Variables!$B$30*M162,0)</f>
        <v/>
      </c>
      <c r="AD162" s="12">
        <f>IF(A162=MATCH(TRUE,$Y$2:$Y$261,0),MAX($AB$2:$AB$261),IF(A162=MATCH(TRUE,$Y$2:$Y$261,0)-1,0,NA()))</f>
        <v/>
      </c>
      <c r="AE162" s="12">
        <f>IF(A162=MATCH(TRUE,$Z$2:$Z$261,0),MAX($AB$2:$AB$261),IF(A162=MATCH(TRUE,$Z$2:$Z$261,0)-1,0,NA()))</f>
        <v/>
      </c>
    </row>
    <row r="163">
      <c r="A163" t="n">
        <v>162</v>
      </c>
      <c r="B163" s="14">
        <f>Variables!$B$24+(A163-1)*7</f>
        <v/>
      </c>
      <c r="C163" s="12">
        <f>P162</f>
        <v/>
      </c>
      <c r="D163" s="12">
        <f>Q162</f>
        <v/>
      </c>
      <c r="E163" s="12">
        <f>C163+IF(A163&gt;Variables!$B$25,D163,0)</f>
        <v/>
      </c>
      <c r="F163" s="12">
        <f>C163+D163</f>
        <v/>
      </c>
      <c r="G163" s="11">
        <f>IF(A163&gt;Variables!$B$22,Variables!$B$12,0)</f>
        <v/>
      </c>
      <c r="H163" s="11">
        <f>IF(AND(A163&gt;Variables!$B$22,Variables!$B$14="Yes"),Variables!$B$13,0)</f>
        <v/>
      </c>
      <c r="I163" s="11">
        <f>IF(AA163&gt;Variables!$B$18,0,IF(AA163&gt;Variables!$B$19,CEILING((AA163-Variables!$B$19)/Variables!$B$21,1)*Variables!$B$20,0))</f>
        <v/>
      </c>
      <c r="J163" s="11">
        <f>IF(AA163&lt;=Variables!$B$18,MIN(Variables!$B$9-Variables!$B$8+I163,Variables!$B$26),0)</f>
        <v/>
      </c>
      <c r="K163" s="11">
        <f>IF(AA163&lt;=Variables!$B$18,Variables!$B$27,0)</f>
        <v/>
      </c>
      <c r="L163" s="11">
        <f>IF(AA163&gt;Variables!$B$18,G163+H163,Variables!$B$26-J163)</f>
        <v/>
      </c>
      <c r="M163" s="11">
        <f>IF(AA163&gt;Variables!$B$18,Variables!$B$2-G163-H163,J163+K163)</f>
        <v/>
      </c>
      <c r="N163" s="11">
        <f>Variables!$B$9-AC163</f>
        <v/>
      </c>
      <c r="O163" s="12">
        <f>F163+N163</f>
        <v/>
      </c>
      <c r="P163" s="12">
        <f>MAX(0,C163+N163)</f>
        <v/>
      </c>
      <c r="Q163" s="12">
        <f>D163+MIN(0,C163+N163)</f>
        <v/>
      </c>
      <c r="R163">
        <f>IF(AA163&gt;Variables!$B$18,"Self-funder",IF(AA163&gt;Variables!$B$19,"Tariff band - council contributing","Council pays standard rate"))</f>
        <v/>
      </c>
      <c r="S163" s="12">
        <f>Variables!$B$18</f>
        <v/>
      </c>
      <c r="T163" s="12">
        <f>Variables!$B$19</f>
        <v/>
      </c>
      <c r="U163">
        <f>AA163&lt;=Variables!$B$18</f>
        <v/>
      </c>
      <c r="V163">
        <f>AA163&lt;=Variables!$B$19</f>
        <v/>
      </c>
      <c r="W163">
        <f>P163&lt;=0</f>
        <v/>
      </c>
      <c r="X163" s="12">
        <f>Variables!$B$28</f>
        <v/>
      </c>
      <c r="Y163">
        <f>AB163&lt;=Variables!$B$28</f>
        <v/>
      </c>
      <c r="Z163">
        <f>AB163&lt;=Variables!$B$18</f>
        <v/>
      </c>
      <c r="AA163" s="12">
        <f>AB162</f>
        <v/>
      </c>
      <c r="AB163" s="12">
        <f>AA163+Variables!$B$9-M163</f>
        <v/>
      </c>
      <c r="AC163" s="11">
        <f>IF(MOD(A163-1,Variables!$B$30)=0,Variables!$B$30*M163,0)</f>
        <v/>
      </c>
      <c r="AD163" s="12">
        <f>IF(A163=MATCH(TRUE,$Y$2:$Y$261,0),MAX($AB$2:$AB$261),IF(A163=MATCH(TRUE,$Y$2:$Y$261,0)-1,0,NA()))</f>
        <v/>
      </c>
      <c r="AE163" s="12">
        <f>IF(A163=MATCH(TRUE,$Z$2:$Z$261,0),MAX($AB$2:$AB$261),IF(A163=MATCH(TRUE,$Z$2:$Z$261,0)-1,0,NA()))</f>
        <v/>
      </c>
    </row>
    <row r="164">
      <c r="A164" t="n">
        <v>163</v>
      </c>
      <c r="B164" s="14">
        <f>Variables!$B$24+(A164-1)*7</f>
        <v/>
      </c>
      <c r="C164" s="12">
        <f>P163</f>
        <v/>
      </c>
      <c r="D164" s="12">
        <f>Q163</f>
        <v/>
      </c>
      <c r="E164" s="12">
        <f>C164+IF(A164&gt;Variables!$B$25,D164,0)</f>
        <v/>
      </c>
      <c r="F164" s="12">
        <f>C164+D164</f>
        <v/>
      </c>
      <c r="G164" s="11">
        <f>IF(A164&gt;Variables!$B$22,Variables!$B$12,0)</f>
        <v/>
      </c>
      <c r="H164" s="11">
        <f>IF(AND(A164&gt;Variables!$B$22,Variables!$B$14="Yes"),Variables!$B$13,0)</f>
        <v/>
      </c>
      <c r="I164" s="11">
        <f>IF(AA164&gt;Variables!$B$18,0,IF(AA164&gt;Variables!$B$19,CEILING((AA164-Variables!$B$19)/Variables!$B$21,1)*Variables!$B$20,0))</f>
        <v/>
      </c>
      <c r="J164" s="11">
        <f>IF(AA164&lt;=Variables!$B$18,MIN(Variables!$B$9-Variables!$B$8+I164,Variables!$B$26),0)</f>
        <v/>
      </c>
      <c r="K164" s="11">
        <f>IF(AA164&lt;=Variables!$B$18,Variables!$B$27,0)</f>
        <v/>
      </c>
      <c r="L164" s="11">
        <f>IF(AA164&gt;Variables!$B$18,G164+H164,Variables!$B$26-J164)</f>
        <v/>
      </c>
      <c r="M164" s="11">
        <f>IF(AA164&gt;Variables!$B$18,Variables!$B$2-G164-H164,J164+K164)</f>
        <v/>
      </c>
      <c r="N164" s="11">
        <f>Variables!$B$9-AC164</f>
        <v/>
      </c>
      <c r="O164" s="12">
        <f>F164+N164</f>
        <v/>
      </c>
      <c r="P164" s="12">
        <f>MAX(0,C164+N164)</f>
        <v/>
      </c>
      <c r="Q164" s="12">
        <f>D164+MIN(0,C164+N164)</f>
        <v/>
      </c>
      <c r="R164">
        <f>IF(AA164&gt;Variables!$B$18,"Self-funder",IF(AA164&gt;Variables!$B$19,"Tariff band - council contributing","Council pays standard rate"))</f>
        <v/>
      </c>
      <c r="S164" s="12">
        <f>Variables!$B$18</f>
        <v/>
      </c>
      <c r="T164" s="12">
        <f>Variables!$B$19</f>
        <v/>
      </c>
      <c r="U164">
        <f>AA164&lt;=Variables!$B$18</f>
        <v/>
      </c>
      <c r="V164">
        <f>AA164&lt;=Variables!$B$19</f>
        <v/>
      </c>
      <c r="W164">
        <f>P164&lt;=0</f>
        <v/>
      </c>
      <c r="X164" s="12">
        <f>Variables!$B$28</f>
        <v/>
      </c>
      <c r="Y164">
        <f>AB164&lt;=Variables!$B$28</f>
        <v/>
      </c>
      <c r="Z164">
        <f>AB164&lt;=Variables!$B$18</f>
        <v/>
      </c>
      <c r="AA164" s="12">
        <f>AB163</f>
        <v/>
      </c>
      <c r="AB164" s="12">
        <f>AA164+Variables!$B$9-M164</f>
        <v/>
      </c>
      <c r="AC164" s="11">
        <f>IF(MOD(A164-1,Variables!$B$30)=0,Variables!$B$30*M164,0)</f>
        <v/>
      </c>
      <c r="AD164" s="12">
        <f>IF(A164=MATCH(TRUE,$Y$2:$Y$261,0),MAX($AB$2:$AB$261),IF(A164=MATCH(TRUE,$Y$2:$Y$261,0)-1,0,NA()))</f>
        <v/>
      </c>
      <c r="AE164" s="12">
        <f>IF(A164=MATCH(TRUE,$Z$2:$Z$261,0),MAX($AB$2:$AB$261),IF(A164=MATCH(TRUE,$Z$2:$Z$261,0)-1,0,NA()))</f>
        <v/>
      </c>
    </row>
    <row r="165">
      <c r="A165" t="n">
        <v>164</v>
      </c>
      <c r="B165" s="14">
        <f>Variables!$B$24+(A165-1)*7</f>
        <v/>
      </c>
      <c r="C165" s="12">
        <f>P164</f>
        <v/>
      </c>
      <c r="D165" s="12">
        <f>Q164</f>
        <v/>
      </c>
      <c r="E165" s="12">
        <f>C165+IF(A165&gt;Variables!$B$25,D165,0)</f>
        <v/>
      </c>
      <c r="F165" s="12">
        <f>C165+D165</f>
        <v/>
      </c>
      <c r="G165" s="11">
        <f>IF(A165&gt;Variables!$B$22,Variables!$B$12,0)</f>
        <v/>
      </c>
      <c r="H165" s="11">
        <f>IF(AND(A165&gt;Variables!$B$22,Variables!$B$14="Yes"),Variables!$B$13,0)</f>
        <v/>
      </c>
      <c r="I165" s="11">
        <f>IF(AA165&gt;Variables!$B$18,0,IF(AA165&gt;Variables!$B$19,CEILING((AA165-Variables!$B$19)/Variables!$B$21,1)*Variables!$B$20,0))</f>
        <v/>
      </c>
      <c r="J165" s="11">
        <f>IF(AA165&lt;=Variables!$B$18,MIN(Variables!$B$9-Variables!$B$8+I165,Variables!$B$26),0)</f>
        <v/>
      </c>
      <c r="K165" s="11">
        <f>IF(AA165&lt;=Variables!$B$18,Variables!$B$27,0)</f>
        <v/>
      </c>
      <c r="L165" s="11">
        <f>IF(AA165&gt;Variables!$B$18,G165+H165,Variables!$B$26-J165)</f>
        <v/>
      </c>
      <c r="M165" s="11">
        <f>IF(AA165&gt;Variables!$B$18,Variables!$B$2-G165-H165,J165+K165)</f>
        <v/>
      </c>
      <c r="N165" s="11">
        <f>Variables!$B$9-AC165</f>
        <v/>
      </c>
      <c r="O165" s="12">
        <f>F165+N165</f>
        <v/>
      </c>
      <c r="P165" s="12">
        <f>MAX(0,C165+N165)</f>
        <v/>
      </c>
      <c r="Q165" s="12">
        <f>D165+MIN(0,C165+N165)</f>
        <v/>
      </c>
      <c r="R165">
        <f>IF(AA165&gt;Variables!$B$18,"Self-funder",IF(AA165&gt;Variables!$B$19,"Tariff band - council contributing","Council pays standard rate"))</f>
        <v/>
      </c>
      <c r="S165" s="12">
        <f>Variables!$B$18</f>
        <v/>
      </c>
      <c r="T165" s="12">
        <f>Variables!$B$19</f>
        <v/>
      </c>
      <c r="U165">
        <f>AA165&lt;=Variables!$B$18</f>
        <v/>
      </c>
      <c r="V165">
        <f>AA165&lt;=Variables!$B$19</f>
        <v/>
      </c>
      <c r="W165">
        <f>P165&lt;=0</f>
        <v/>
      </c>
      <c r="X165" s="12">
        <f>Variables!$B$28</f>
        <v/>
      </c>
      <c r="Y165">
        <f>AB165&lt;=Variables!$B$28</f>
        <v/>
      </c>
      <c r="Z165">
        <f>AB165&lt;=Variables!$B$18</f>
        <v/>
      </c>
      <c r="AA165" s="12">
        <f>AB164</f>
        <v/>
      </c>
      <c r="AB165" s="12">
        <f>AA165+Variables!$B$9-M165</f>
        <v/>
      </c>
      <c r="AC165" s="11">
        <f>IF(MOD(A165-1,Variables!$B$30)=0,Variables!$B$30*M165,0)</f>
        <v/>
      </c>
      <c r="AD165" s="12">
        <f>IF(A165=MATCH(TRUE,$Y$2:$Y$261,0),MAX($AB$2:$AB$261),IF(A165=MATCH(TRUE,$Y$2:$Y$261,0)-1,0,NA()))</f>
        <v/>
      </c>
      <c r="AE165" s="12">
        <f>IF(A165=MATCH(TRUE,$Z$2:$Z$261,0),MAX($AB$2:$AB$261),IF(A165=MATCH(TRUE,$Z$2:$Z$261,0)-1,0,NA()))</f>
        <v/>
      </c>
    </row>
    <row r="166">
      <c r="A166" t="n">
        <v>165</v>
      </c>
      <c r="B166" s="14">
        <f>Variables!$B$24+(A166-1)*7</f>
        <v/>
      </c>
      <c r="C166" s="12">
        <f>P165</f>
        <v/>
      </c>
      <c r="D166" s="12">
        <f>Q165</f>
        <v/>
      </c>
      <c r="E166" s="12">
        <f>C166+IF(A166&gt;Variables!$B$25,D166,0)</f>
        <v/>
      </c>
      <c r="F166" s="12">
        <f>C166+D166</f>
        <v/>
      </c>
      <c r="G166" s="11">
        <f>IF(A166&gt;Variables!$B$22,Variables!$B$12,0)</f>
        <v/>
      </c>
      <c r="H166" s="11">
        <f>IF(AND(A166&gt;Variables!$B$22,Variables!$B$14="Yes"),Variables!$B$13,0)</f>
        <v/>
      </c>
      <c r="I166" s="11">
        <f>IF(AA166&gt;Variables!$B$18,0,IF(AA166&gt;Variables!$B$19,CEILING((AA166-Variables!$B$19)/Variables!$B$21,1)*Variables!$B$20,0))</f>
        <v/>
      </c>
      <c r="J166" s="11">
        <f>IF(AA166&lt;=Variables!$B$18,MIN(Variables!$B$9-Variables!$B$8+I166,Variables!$B$26),0)</f>
        <v/>
      </c>
      <c r="K166" s="11">
        <f>IF(AA166&lt;=Variables!$B$18,Variables!$B$27,0)</f>
        <v/>
      </c>
      <c r="L166" s="11">
        <f>IF(AA166&gt;Variables!$B$18,G166+H166,Variables!$B$26-J166)</f>
        <v/>
      </c>
      <c r="M166" s="11">
        <f>IF(AA166&gt;Variables!$B$18,Variables!$B$2-G166-H166,J166+K166)</f>
        <v/>
      </c>
      <c r="N166" s="11">
        <f>Variables!$B$9-AC166</f>
        <v/>
      </c>
      <c r="O166" s="12">
        <f>F166+N166</f>
        <v/>
      </c>
      <c r="P166" s="12">
        <f>MAX(0,C166+N166)</f>
        <v/>
      </c>
      <c r="Q166" s="12">
        <f>D166+MIN(0,C166+N166)</f>
        <v/>
      </c>
      <c r="R166">
        <f>IF(AA166&gt;Variables!$B$18,"Self-funder",IF(AA166&gt;Variables!$B$19,"Tariff band - council contributing","Council pays standard rate"))</f>
        <v/>
      </c>
      <c r="S166" s="12">
        <f>Variables!$B$18</f>
        <v/>
      </c>
      <c r="T166" s="12">
        <f>Variables!$B$19</f>
        <v/>
      </c>
      <c r="U166">
        <f>AA166&lt;=Variables!$B$18</f>
        <v/>
      </c>
      <c r="V166">
        <f>AA166&lt;=Variables!$B$19</f>
        <v/>
      </c>
      <c r="W166">
        <f>P166&lt;=0</f>
        <v/>
      </c>
      <c r="X166" s="12">
        <f>Variables!$B$28</f>
        <v/>
      </c>
      <c r="Y166">
        <f>AB166&lt;=Variables!$B$28</f>
        <v/>
      </c>
      <c r="Z166">
        <f>AB166&lt;=Variables!$B$18</f>
        <v/>
      </c>
      <c r="AA166" s="12">
        <f>AB165</f>
        <v/>
      </c>
      <c r="AB166" s="12">
        <f>AA166+Variables!$B$9-M166</f>
        <v/>
      </c>
      <c r="AC166" s="11">
        <f>IF(MOD(A166-1,Variables!$B$30)=0,Variables!$B$30*M166,0)</f>
        <v/>
      </c>
      <c r="AD166" s="12">
        <f>IF(A166=MATCH(TRUE,$Y$2:$Y$261,0),MAX($AB$2:$AB$261),IF(A166=MATCH(TRUE,$Y$2:$Y$261,0)-1,0,NA()))</f>
        <v/>
      </c>
      <c r="AE166" s="12">
        <f>IF(A166=MATCH(TRUE,$Z$2:$Z$261,0),MAX($AB$2:$AB$261),IF(A166=MATCH(TRUE,$Z$2:$Z$261,0)-1,0,NA()))</f>
        <v/>
      </c>
    </row>
    <row r="167">
      <c r="A167" t="n">
        <v>166</v>
      </c>
      <c r="B167" s="14">
        <f>Variables!$B$24+(A167-1)*7</f>
        <v/>
      </c>
      <c r="C167" s="12">
        <f>P166</f>
        <v/>
      </c>
      <c r="D167" s="12">
        <f>Q166</f>
        <v/>
      </c>
      <c r="E167" s="12">
        <f>C167+IF(A167&gt;Variables!$B$25,D167,0)</f>
        <v/>
      </c>
      <c r="F167" s="12">
        <f>C167+D167</f>
        <v/>
      </c>
      <c r="G167" s="11">
        <f>IF(A167&gt;Variables!$B$22,Variables!$B$12,0)</f>
        <v/>
      </c>
      <c r="H167" s="11">
        <f>IF(AND(A167&gt;Variables!$B$22,Variables!$B$14="Yes"),Variables!$B$13,0)</f>
        <v/>
      </c>
      <c r="I167" s="11">
        <f>IF(AA167&gt;Variables!$B$18,0,IF(AA167&gt;Variables!$B$19,CEILING((AA167-Variables!$B$19)/Variables!$B$21,1)*Variables!$B$20,0))</f>
        <v/>
      </c>
      <c r="J167" s="11">
        <f>IF(AA167&lt;=Variables!$B$18,MIN(Variables!$B$9-Variables!$B$8+I167,Variables!$B$26),0)</f>
        <v/>
      </c>
      <c r="K167" s="11">
        <f>IF(AA167&lt;=Variables!$B$18,Variables!$B$27,0)</f>
        <v/>
      </c>
      <c r="L167" s="11">
        <f>IF(AA167&gt;Variables!$B$18,G167+H167,Variables!$B$26-J167)</f>
        <v/>
      </c>
      <c r="M167" s="11">
        <f>IF(AA167&gt;Variables!$B$18,Variables!$B$2-G167-H167,J167+K167)</f>
        <v/>
      </c>
      <c r="N167" s="11">
        <f>Variables!$B$9-AC167</f>
        <v/>
      </c>
      <c r="O167" s="12">
        <f>F167+N167</f>
        <v/>
      </c>
      <c r="P167" s="12">
        <f>MAX(0,C167+N167)</f>
        <v/>
      </c>
      <c r="Q167" s="12">
        <f>D167+MIN(0,C167+N167)</f>
        <v/>
      </c>
      <c r="R167">
        <f>IF(AA167&gt;Variables!$B$18,"Self-funder",IF(AA167&gt;Variables!$B$19,"Tariff band - council contributing","Council pays standard rate"))</f>
        <v/>
      </c>
      <c r="S167" s="12">
        <f>Variables!$B$18</f>
        <v/>
      </c>
      <c r="T167" s="12">
        <f>Variables!$B$19</f>
        <v/>
      </c>
      <c r="U167">
        <f>AA167&lt;=Variables!$B$18</f>
        <v/>
      </c>
      <c r="V167">
        <f>AA167&lt;=Variables!$B$19</f>
        <v/>
      </c>
      <c r="W167">
        <f>P167&lt;=0</f>
        <v/>
      </c>
      <c r="X167" s="12">
        <f>Variables!$B$28</f>
        <v/>
      </c>
      <c r="Y167">
        <f>AB167&lt;=Variables!$B$28</f>
        <v/>
      </c>
      <c r="Z167">
        <f>AB167&lt;=Variables!$B$18</f>
        <v/>
      </c>
      <c r="AA167" s="12">
        <f>AB166</f>
        <v/>
      </c>
      <c r="AB167" s="12">
        <f>AA167+Variables!$B$9-M167</f>
        <v/>
      </c>
      <c r="AC167" s="11">
        <f>IF(MOD(A167-1,Variables!$B$30)=0,Variables!$B$30*M167,0)</f>
        <v/>
      </c>
      <c r="AD167" s="12">
        <f>IF(A167=MATCH(TRUE,$Y$2:$Y$261,0),MAX($AB$2:$AB$261),IF(A167=MATCH(TRUE,$Y$2:$Y$261,0)-1,0,NA()))</f>
        <v/>
      </c>
      <c r="AE167" s="12">
        <f>IF(A167=MATCH(TRUE,$Z$2:$Z$261,0),MAX($AB$2:$AB$261),IF(A167=MATCH(TRUE,$Z$2:$Z$261,0)-1,0,NA()))</f>
        <v/>
      </c>
    </row>
    <row r="168">
      <c r="A168" t="n">
        <v>167</v>
      </c>
      <c r="B168" s="14">
        <f>Variables!$B$24+(A168-1)*7</f>
        <v/>
      </c>
      <c r="C168" s="12">
        <f>P167</f>
        <v/>
      </c>
      <c r="D168" s="12">
        <f>Q167</f>
        <v/>
      </c>
      <c r="E168" s="12">
        <f>C168+IF(A168&gt;Variables!$B$25,D168,0)</f>
        <v/>
      </c>
      <c r="F168" s="12">
        <f>C168+D168</f>
        <v/>
      </c>
      <c r="G168" s="11">
        <f>IF(A168&gt;Variables!$B$22,Variables!$B$12,0)</f>
        <v/>
      </c>
      <c r="H168" s="11">
        <f>IF(AND(A168&gt;Variables!$B$22,Variables!$B$14="Yes"),Variables!$B$13,0)</f>
        <v/>
      </c>
      <c r="I168" s="11">
        <f>IF(AA168&gt;Variables!$B$18,0,IF(AA168&gt;Variables!$B$19,CEILING((AA168-Variables!$B$19)/Variables!$B$21,1)*Variables!$B$20,0))</f>
        <v/>
      </c>
      <c r="J168" s="11">
        <f>IF(AA168&lt;=Variables!$B$18,MIN(Variables!$B$9-Variables!$B$8+I168,Variables!$B$26),0)</f>
        <v/>
      </c>
      <c r="K168" s="11">
        <f>IF(AA168&lt;=Variables!$B$18,Variables!$B$27,0)</f>
        <v/>
      </c>
      <c r="L168" s="11">
        <f>IF(AA168&gt;Variables!$B$18,G168+H168,Variables!$B$26-J168)</f>
        <v/>
      </c>
      <c r="M168" s="11">
        <f>IF(AA168&gt;Variables!$B$18,Variables!$B$2-G168-H168,J168+K168)</f>
        <v/>
      </c>
      <c r="N168" s="11">
        <f>Variables!$B$9-AC168</f>
        <v/>
      </c>
      <c r="O168" s="12">
        <f>F168+N168</f>
        <v/>
      </c>
      <c r="P168" s="12">
        <f>MAX(0,C168+N168)</f>
        <v/>
      </c>
      <c r="Q168" s="12">
        <f>D168+MIN(0,C168+N168)</f>
        <v/>
      </c>
      <c r="R168">
        <f>IF(AA168&gt;Variables!$B$18,"Self-funder",IF(AA168&gt;Variables!$B$19,"Tariff band - council contributing","Council pays standard rate"))</f>
        <v/>
      </c>
      <c r="S168" s="12">
        <f>Variables!$B$18</f>
        <v/>
      </c>
      <c r="T168" s="12">
        <f>Variables!$B$19</f>
        <v/>
      </c>
      <c r="U168">
        <f>AA168&lt;=Variables!$B$18</f>
        <v/>
      </c>
      <c r="V168">
        <f>AA168&lt;=Variables!$B$19</f>
        <v/>
      </c>
      <c r="W168">
        <f>P168&lt;=0</f>
        <v/>
      </c>
      <c r="X168" s="12">
        <f>Variables!$B$28</f>
        <v/>
      </c>
      <c r="Y168">
        <f>AB168&lt;=Variables!$B$28</f>
        <v/>
      </c>
      <c r="Z168">
        <f>AB168&lt;=Variables!$B$18</f>
        <v/>
      </c>
      <c r="AA168" s="12">
        <f>AB167</f>
        <v/>
      </c>
      <c r="AB168" s="12">
        <f>AA168+Variables!$B$9-M168</f>
        <v/>
      </c>
      <c r="AC168" s="11">
        <f>IF(MOD(A168-1,Variables!$B$30)=0,Variables!$B$30*M168,0)</f>
        <v/>
      </c>
      <c r="AD168" s="12">
        <f>IF(A168=MATCH(TRUE,$Y$2:$Y$261,0),MAX($AB$2:$AB$261),IF(A168=MATCH(TRUE,$Y$2:$Y$261,0)-1,0,NA()))</f>
        <v/>
      </c>
      <c r="AE168" s="12">
        <f>IF(A168=MATCH(TRUE,$Z$2:$Z$261,0),MAX($AB$2:$AB$261),IF(A168=MATCH(TRUE,$Z$2:$Z$261,0)-1,0,NA()))</f>
        <v/>
      </c>
    </row>
    <row r="169">
      <c r="A169" t="n">
        <v>168</v>
      </c>
      <c r="B169" s="14">
        <f>Variables!$B$24+(A169-1)*7</f>
        <v/>
      </c>
      <c r="C169" s="12">
        <f>P168</f>
        <v/>
      </c>
      <c r="D169" s="12">
        <f>Q168</f>
        <v/>
      </c>
      <c r="E169" s="12">
        <f>C169+IF(A169&gt;Variables!$B$25,D169,0)</f>
        <v/>
      </c>
      <c r="F169" s="12">
        <f>C169+D169</f>
        <v/>
      </c>
      <c r="G169" s="11">
        <f>IF(A169&gt;Variables!$B$22,Variables!$B$12,0)</f>
        <v/>
      </c>
      <c r="H169" s="11">
        <f>IF(AND(A169&gt;Variables!$B$22,Variables!$B$14="Yes"),Variables!$B$13,0)</f>
        <v/>
      </c>
      <c r="I169" s="11">
        <f>IF(AA169&gt;Variables!$B$18,0,IF(AA169&gt;Variables!$B$19,CEILING((AA169-Variables!$B$19)/Variables!$B$21,1)*Variables!$B$20,0))</f>
        <v/>
      </c>
      <c r="J169" s="11">
        <f>IF(AA169&lt;=Variables!$B$18,MIN(Variables!$B$9-Variables!$B$8+I169,Variables!$B$26),0)</f>
        <v/>
      </c>
      <c r="K169" s="11">
        <f>IF(AA169&lt;=Variables!$B$18,Variables!$B$27,0)</f>
        <v/>
      </c>
      <c r="L169" s="11">
        <f>IF(AA169&gt;Variables!$B$18,G169+H169,Variables!$B$26-J169)</f>
        <v/>
      </c>
      <c r="M169" s="11">
        <f>IF(AA169&gt;Variables!$B$18,Variables!$B$2-G169-H169,J169+K169)</f>
        <v/>
      </c>
      <c r="N169" s="11">
        <f>Variables!$B$9-AC169</f>
        <v/>
      </c>
      <c r="O169" s="12">
        <f>F169+N169</f>
        <v/>
      </c>
      <c r="P169" s="12">
        <f>MAX(0,C169+N169)</f>
        <v/>
      </c>
      <c r="Q169" s="12">
        <f>D169+MIN(0,C169+N169)</f>
        <v/>
      </c>
      <c r="R169">
        <f>IF(AA169&gt;Variables!$B$18,"Self-funder",IF(AA169&gt;Variables!$B$19,"Tariff band - council contributing","Council pays standard rate"))</f>
        <v/>
      </c>
      <c r="S169" s="12">
        <f>Variables!$B$18</f>
        <v/>
      </c>
      <c r="T169" s="12">
        <f>Variables!$B$19</f>
        <v/>
      </c>
      <c r="U169">
        <f>AA169&lt;=Variables!$B$18</f>
        <v/>
      </c>
      <c r="V169">
        <f>AA169&lt;=Variables!$B$19</f>
        <v/>
      </c>
      <c r="W169">
        <f>P169&lt;=0</f>
        <v/>
      </c>
      <c r="X169" s="12">
        <f>Variables!$B$28</f>
        <v/>
      </c>
      <c r="Y169">
        <f>AB169&lt;=Variables!$B$28</f>
        <v/>
      </c>
      <c r="Z169">
        <f>AB169&lt;=Variables!$B$18</f>
        <v/>
      </c>
      <c r="AA169" s="12">
        <f>AB168</f>
        <v/>
      </c>
      <c r="AB169" s="12">
        <f>AA169+Variables!$B$9-M169</f>
        <v/>
      </c>
      <c r="AC169" s="11">
        <f>IF(MOD(A169-1,Variables!$B$30)=0,Variables!$B$30*M169,0)</f>
        <v/>
      </c>
      <c r="AD169" s="12">
        <f>IF(A169=MATCH(TRUE,$Y$2:$Y$261,0),MAX($AB$2:$AB$261),IF(A169=MATCH(TRUE,$Y$2:$Y$261,0)-1,0,NA()))</f>
        <v/>
      </c>
      <c r="AE169" s="12">
        <f>IF(A169=MATCH(TRUE,$Z$2:$Z$261,0),MAX($AB$2:$AB$261),IF(A169=MATCH(TRUE,$Z$2:$Z$261,0)-1,0,NA()))</f>
        <v/>
      </c>
    </row>
    <row r="170">
      <c r="A170" t="n">
        <v>169</v>
      </c>
      <c r="B170" s="14">
        <f>Variables!$B$24+(A170-1)*7</f>
        <v/>
      </c>
      <c r="C170" s="12">
        <f>P169</f>
        <v/>
      </c>
      <c r="D170" s="12">
        <f>Q169</f>
        <v/>
      </c>
      <c r="E170" s="12">
        <f>C170+IF(A170&gt;Variables!$B$25,D170,0)</f>
        <v/>
      </c>
      <c r="F170" s="12">
        <f>C170+D170</f>
        <v/>
      </c>
      <c r="G170" s="11">
        <f>IF(A170&gt;Variables!$B$22,Variables!$B$12,0)</f>
        <v/>
      </c>
      <c r="H170" s="11">
        <f>IF(AND(A170&gt;Variables!$B$22,Variables!$B$14="Yes"),Variables!$B$13,0)</f>
        <v/>
      </c>
      <c r="I170" s="11">
        <f>IF(AA170&gt;Variables!$B$18,0,IF(AA170&gt;Variables!$B$19,CEILING((AA170-Variables!$B$19)/Variables!$B$21,1)*Variables!$B$20,0))</f>
        <v/>
      </c>
      <c r="J170" s="11">
        <f>IF(AA170&lt;=Variables!$B$18,MIN(Variables!$B$9-Variables!$B$8+I170,Variables!$B$26),0)</f>
        <v/>
      </c>
      <c r="K170" s="11">
        <f>IF(AA170&lt;=Variables!$B$18,Variables!$B$27,0)</f>
        <v/>
      </c>
      <c r="L170" s="11">
        <f>IF(AA170&gt;Variables!$B$18,G170+H170,Variables!$B$26-J170)</f>
        <v/>
      </c>
      <c r="M170" s="11">
        <f>IF(AA170&gt;Variables!$B$18,Variables!$B$2-G170-H170,J170+K170)</f>
        <v/>
      </c>
      <c r="N170" s="11">
        <f>Variables!$B$9-AC170</f>
        <v/>
      </c>
      <c r="O170" s="12">
        <f>F170+N170</f>
        <v/>
      </c>
      <c r="P170" s="12">
        <f>MAX(0,C170+N170)</f>
        <v/>
      </c>
      <c r="Q170" s="12">
        <f>D170+MIN(0,C170+N170)</f>
        <v/>
      </c>
      <c r="R170">
        <f>IF(AA170&gt;Variables!$B$18,"Self-funder",IF(AA170&gt;Variables!$B$19,"Tariff band - council contributing","Council pays standard rate"))</f>
        <v/>
      </c>
      <c r="S170" s="12">
        <f>Variables!$B$18</f>
        <v/>
      </c>
      <c r="T170" s="12">
        <f>Variables!$B$19</f>
        <v/>
      </c>
      <c r="U170">
        <f>AA170&lt;=Variables!$B$18</f>
        <v/>
      </c>
      <c r="V170">
        <f>AA170&lt;=Variables!$B$19</f>
        <v/>
      </c>
      <c r="W170">
        <f>P170&lt;=0</f>
        <v/>
      </c>
      <c r="X170" s="12">
        <f>Variables!$B$28</f>
        <v/>
      </c>
      <c r="Y170">
        <f>AB170&lt;=Variables!$B$28</f>
        <v/>
      </c>
      <c r="Z170">
        <f>AB170&lt;=Variables!$B$18</f>
        <v/>
      </c>
      <c r="AA170" s="12">
        <f>AB169</f>
        <v/>
      </c>
      <c r="AB170" s="12">
        <f>AA170+Variables!$B$9-M170</f>
        <v/>
      </c>
      <c r="AC170" s="11">
        <f>IF(MOD(A170-1,Variables!$B$30)=0,Variables!$B$30*M170,0)</f>
        <v/>
      </c>
      <c r="AD170" s="12">
        <f>IF(A170=MATCH(TRUE,$Y$2:$Y$261,0),MAX($AB$2:$AB$261),IF(A170=MATCH(TRUE,$Y$2:$Y$261,0)-1,0,NA()))</f>
        <v/>
      </c>
      <c r="AE170" s="12">
        <f>IF(A170=MATCH(TRUE,$Z$2:$Z$261,0),MAX($AB$2:$AB$261),IF(A170=MATCH(TRUE,$Z$2:$Z$261,0)-1,0,NA()))</f>
        <v/>
      </c>
    </row>
    <row r="171">
      <c r="A171" t="n">
        <v>170</v>
      </c>
      <c r="B171" s="14">
        <f>Variables!$B$24+(A171-1)*7</f>
        <v/>
      </c>
      <c r="C171" s="12">
        <f>P170</f>
        <v/>
      </c>
      <c r="D171" s="12">
        <f>Q170</f>
        <v/>
      </c>
      <c r="E171" s="12">
        <f>C171+IF(A171&gt;Variables!$B$25,D171,0)</f>
        <v/>
      </c>
      <c r="F171" s="12">
        <f>C171+D171</f>
        <v/>
      </c>
      <c r="G171" s="11">
        <f>IF(A171&gt;Variables!$B$22,Variables!$B$12,0)</f>
        <v/>
      </c>
      <c r="H171" s="11">
        <f>IF(AND(A171&gt;Variables!$B$22,Variables!$B$14="Yes"),Variables!$B$13,0)</f>
        <v/>
      </c>
      <c r="I171" s="11">
        <f>IF(AA171&gt;Variables!$B$18,0,IF(AA171&gt;Variables!$B$19,CEILING((AA171-Variables!$B$19)/Variables!$B$21,1)*Variables!$B$20,0))</f>
        <v/>
      </c>
      <c r="J171" s="11">
        <f>IF(AA171&lt;=Variables!$B$18,MIN(Variables!$B$9-Variables!$B$8+I171,Variables!$B$26),0)</f>
        <v/>
      </c>
      <c r="K171" s="11">
        <f>IF(AA171&lt;=Variables!$B$18,Variables!$B$27,0)</f>
        <v/>
      </c>
      <c r="L171" s="11">
        <f>IF(AA171&gt;Variables!$B$18,G171+H171,Variables!$B$26-J171)</f>
        <v/>
      </c>
      <c r="M171" s="11">
        <f>IF(AA171&gt;Variables!$B$18,Variables!$B$2-G171-H171,J171+K171)</f>
        <v/>
      </c>
      <c r="N171" s="11">
        <f>Variables!$B$9-AC171</f>
        <v/>
      </c>
      <c r="O171" s="12">
        <f>F171+N171</f>
        <v/>
      </c>
      <c r="P171" s="12">
        <f>MAX(0,C171+N171)</f>
        <v/>
      </c>
      <c r="Q171" s="12">
        <f>D171+MIN(0,C171+N171)</f>
        <v/>
      </c>
      <c r="R171">
        <f>IF(AA171&gt;Variables!$B$18,"Self-funder",IF(AA171&gt;Variables!$B$19,"Tariff band - council contributing","Council pays standard rate"))</f>
        <v/>
      </c>
      <c r="S171" s="12">
        <f>Variables!$B$18</f>
        <v/>
      </c>
      <c r="T171" s="12">
        <f>Variables!$B$19</f>
        <v/>
      </c>
      <c r="U171">
        <f>AA171&lt;=Variables!$B$18</f>
        <v/>
      </c>
      <c r="V171">
        <f>AA171&lt;=Variables!$B$19</f>
        <v/>
      </c>
      <c r="W171">
        <f>P171&lt;=0</f>
        <v/>
      </c>
      <c r="X171" s="12">
        <f>Variables!$B$28</f>
        <v/>
      </c>
      <c r="Y171">
        <f>AB171&lt;=Variables!$B$28</f>
        <v/>
      </c>
      <c r="Z171">
        <f>AB171&lt;=Variables!$B$18</f>
        <v/>
      </c>
      <c r="AA171" s="12">
        <f>AB170</f>
        <v/>
      </c>
      <c r="AB171" s="12">
        <f>AA171+Variables!$B$9-M171</f>
        <v/>
      </c>
      <c r="AC171" s="11">
        <f>IF(MOD(A171-1,Variables!$B$30)=0,Variables!$B$30*M171,0)</f>
        <v/>
      </c>
      <c r="AD171" s="12">
        <f>IF(A171=MATCH(TRUE,$Y$2:$Y$261,0),MAX($AB$2:$AB$261),IF(A171=MATCH(TRUE,$Y$2:$Y$261,0)-1,0,NA()))</f>
        <v/>
      </c>
      <c r="AE171" s="12">
        <f>IF(A171=MATCH(TRUE,$Z$2:$Z$261,0),MAX($AB$2:$AB$261),IF(A171=MATCH(TRUE,$Z$2:$Z$261,0)-1,0,NA()))</f>
        <v/>
      </c>
    </row>
    <row r="172">
      <c r="A172" t="n">
        <v>171</v>
      </c>
      <c r="B172" s="14">
        <f>Variables!$B$24+(A172-1)*7</f>
        <v/>
      </c>
      <c r="C172" s="12">
        <f>P171</f>
        <v/>
      </c>
      <c r="D172" s="12">
        <f>Q171</f>
        <v/>
      </c>
      <c r="E172" s="12">
        <f>C172+IF(A172&gt;Variables!$B$25,D172,0)</f>
        <v/>
      </c>
      <c r="F172" s="12">
        <f>C172+D172</f>
        <v/>
      </c>
      <c r="G172" s="11">
        <f>IF(A172&gt;Variables!$B$22,Variables!$B$12,0)</f>
        <v/>
      </c>
      <c r="H172" s="11">
        <f>IF(AND(A172&gt;Variables!$B$22,Variables!$B$14="Yes"),Variables!$B$13,0)</f>
        <v/>
      </c>
      <c r="I172" s="11">
        <f>IF(AA172&gt;Variables!$B$18,0,IF(AA172&gt;Variables!$B$19,CEILING((AA172-Variables!$B$19)/Variables!$B$21,1)*Variables!$B$20,0))</f>
        <v/>
      </c>
      <c r="J172" s="11">
        <f>IF(AA172&lt;=Variables!$B$18,MIN(Variables!$B$9-Variables!$B$8+I172,Variables!$B$26),0)</f>
        <v/>
      </c>
      <c r="K172" s="11">
        <f>IF(AA172&lt;=Variables!$B$18,Variables!$B$27,0)</f>
        <v/>
      </c>
      <c r="L172" s="11">
        <f>IF(AA172&gt;Variables!$B$18,G172+H172,Variables!$B$26-J172)</f>
        <v/>
      </c>
      <c r="M172" s="11">
        <f>IF(AA172&gt;Variables!$B$18,Variables!$B$2-G172-H172,J172+K172)</f>
        <v/>
      </c>
      <c r="N172" s="11">
        <f>Variables!$B$9-AC172</f>
        <v/>
      </c>
      <c r="O172" s="12">
        <f>F172+N172</f>
        <v/>
      </c>
      <c r="P172" s="12">
        <f>MAX(0,C172+N172)</f>
        <v/>
      </c>
      <c r="Q172" s="12">
        <f>D172+MIN(0,C172+N172)</f>
        <v/>
      </c>
      <c r="R172">
        <f>IF(AA172&gt;Variables!$B$18,"Self-funder",IF(AA172&gt;Variables!$B$19,"Tariff band - council contributing","Council pays standard rate"))</f>
        <v/>
      </c>
      <c r="S172" s="12">
        <f>Variables!$B$18</f>
        <v/>
      </c>
      <c r="T172" s="12">
        <f>Variables!$B$19</f>
        <v/>
      </c>
      <c r="U172">
        <f>AA172&lt;=Variables!$B$18</f>
        <v/>
      </c>
      <c r="V172">
        <f>AA172&lt;=Variables!$B$19</f>
        <v/>
      </c>
      <c r="W172">
        <f>P172&lt;=0</f>
        <v/>
      </c>
      <c r="X172" s="12">
        <f>Variables!$B$28</f>
        <v/>
      </c>
      <c r="Y172">
        <f>AB172&lt;=Variables!$B$28</f>
        <v/>
      </c>
      <c r="Z172">
        <f>AB172&lt;=Variables!$B$18</f>
        <v/>
      </c>
      <c r="AA172" s="12">
        <f>AB171</f>
        <v/>
      </c>
      <c r="AB172" s="12">
        <f>AA172+Variables!$B$9-M172</f>
        <v/>
      </c>
      <c r="AC172" s="11">
        <f>IF(MOD(A172-1,Variables!$B$30)=0,Variables!$B$30*M172,0)</f>
        <v/>
      </c>
      <c r="AD172" s="12">
        <f>IF(A172=MATCH(TRUE,$Y$2:$Y$261,0),MAX($AB$2:$AB$261),IF(A172=MATCH(TRUE,$Y$2:$Y$261,0)-1,0,NA()))</f>
        <v/>
      </c>
      <c r="AE172" s="12">
        <f>IF(A172=MATCH(TRUE,$Z$2:$Z$261,0),MAX($AB$2:$AB$261),IF(A172=MATCH(TRUE,$Z$2:$Z$261,0)-1,0,NA()))</f>
        <v/>
      </c>
    </row>
    <row r="173">
      <c r="A173" t="n">
        <v>172</v>
      </c>
      <c r="B173" s="14">
        <f>Variables!$B$24+(A173-1)*7</f>
        <v/>
      </c>
      <c r="C173" s="12">
        <f>P172</f>
        <v/>
      </c>
      <c r="D173" s="12">
        <f>Q172</f>
        <v/>
      </c>
      <c r="E173" s="12">
        <f>C173+IF(A173&gt;Variables!$B$25,D173,0)</f>
        <v/>
      </c>
      <c r="F173" s="12">
        <f>C173+D173</f>
        <v/>
      </c>
      <c r="G173" s="11">
        <f>IF(A173&gt;Variables!$B$22,Variables!$B$12,0)</f>
        <v/>
      </c>
      <c r="H173" s="11">
        <f>IF(AND(A173&gt;Variables!$B$22,Variables!$B$14="Yes"),Variables!$B$13,0)</f>
        <v/>
      </c>
      <c r="I173" s="11">
        <f>IF(AA173&gt;Variables!$B$18,0,IF(AA173&gt;Variables!$B$19,CEILING((AA173-Variables!$B$19)/Variables!$B$21,1)*Variables!$B$20,0))</f>
        <v/>
      </c>
      <c r="J173" s="11">
        <f>IF(AA173&lt;=Variables!$B$18,MIN(Variables!$B$9-Variables!$B$8+I173,Variables!$B$26),0)</f>
        <v/>
      </c>
      <c r="K173" s="11">
        <f>IF(AA173&lt;=Variables!$B$18,Variables!$B$27,0)</f>
        <v/>
      </c>
      <c r="L173" s="11">
        <f>IF(AA173&gt;Variables!$B$18,G173+H173,Variables!$B$26-J173)</f>
        <v/>
      </c>
      <c r="M173" s="11">
        <f>IF(AA173&gt;Variables!$B$18,Variables!$B$2-G173-H173,J173+K173)</f>
        <v/>
      </c>
      <c r="N173" s="11">
        <f>Variables!$B$9-AC173</f>
        <v/>
      </c>
      <c r="O173" s="12">
        <f>F173+N173</f>
        <v/>
      </c>
      <c r="P173" s="12">
        <f>MAX(0,C173+N173)</f>
        <v/>
      </c>
      <c r="Q173" s="12">
        <f>D173+MIN(0,C173+N173)</f>
        <v/>
      </c>
      <c r="R173">
        <f>IF(AA173&gt;Variables!$B$18,"Self-funder",IF(AA173&gt;Variables!$B$19,"Tariff band - council contributing","Council pays standard rate"))</f>
        <v/>
      </c>
      <c r="S173" s="12">
        <f>Variables!$B$18</f>
        <v/>
      </c>
      <c r="T173" s="12">
        <f>Variables!$B$19</f>
        <v/>
      </c>
      <c r="U173">
        <f>AA173&lt;=Variables!$B$18</f>
        <v/>
      </c>
      <c r="V173">
        <f>AA173&lt;=Variables!$B$19</f>
        <v/>
      </c>
      <c r="W173">
        <f>P173&lt;=0</f>
        <v/>
      </c>
      <c r="X173" s="12">
        <f>Variables!$B$28</f>
        <v/>
      </c>
      <c r="Y173">
        <f>AB173&lt;=Variables!$B$28</f>
        <v/>
      </c>
      <c r="Z173">
        <f>AB173&lt;=Variables!$B$18</f>
        <v/>
      </c>
      <c r="AA173" s="12">
        <f>AB172</f>
        <v/>
      </c>
      <c r="AB173" s="12">
        <f>AA173+Variables!$B$9-M173</f>
        <v/>
      </c>
      <c r="AC173" s="11">
        <f>IF(MOD(A173-1,Variables!$B$30)=0,Variables!$B$30*M173,0)</f>
        <v/>
      </c>
      <c r="AD173" s="12">
        <f>IF(A173=MATCH(TRUE,$Y$2:$Y$261,0),MAX($AB$2:$AB$261),IF(A173=MATCH(TRUE,$Y$2:$Y$261,0)-1,0,NA()))</f>
        <v/>
      </c>
      <c r="AE173" s="12">
        <f>IF(A173=MATCH(TRUE,$Z$2:$Z$261,0),MAX($AB$2:$AB$261),IF(A173=MATCH(TRUE,$Z$2:$Z$261,0)-1,0,NA()))</f>
        <v/>
      </c>
    </row>
    <row r="174">
      <c r="A174" t="n">
        <v>173</v>
      </c>
      <c r="B174" s="14">
        <f>Variables!$B$24+(A174-1)*7</f>
        <v/>
      </c>
      <c r="C174" s="12">
        <f>P173</f>
        <v/>
      </c>
      <c r="D174" s="12">
        <f>Q173</f>
        <v/>
      </c>
      <c r="E174" s="12">
        <f>C174+IF(A174&gt;Variables!$B$25,D174,0)</f>
        <v/>
      </c>
      <c r="F174" s="12">
        <f>C174+D174</f>
        <v/>
      </c>
      <c r="G174" s="11">
        <f>IF(A174&gt;Variables!$B$22,Variables!$B$12,0)</f>
        <v/>
      </c>
      <c r="H174" s="11">
        <f>IF(AND(A174&gt;Variables!$B$22,Variables!$B$14="Yes"),Variables!$B$13,0)</f>
        <v/>
      </c>
      <c r="I174" s="11">
        <f>IF(AA174&gt;Variables!$B$18,0,IF(AA174&gt;Variables!$B$19,CEILING((AA174-Variables!$B$19)/Variables!$B$21,1)*Variables!$B$20,0))</f>
        <v/>
      </c>
      <c r="J174" s="11">
        <f>IF(AA174&lt;=Variables!$B$18,MIN(Variables!$B$9-Variables!$B$8+I174,Variables!$B$26),0)</f>
        <v/>
      </c>
      <c r="K174" s="11">
        <f>IF(AA174&lt;=Variables!$B$18,Variables!$B$27,0)</f>
        <v/>
      </c>
      <c r="L174" s="11">
        <f>IF(AA174&gt;Variables!$B$18,G174+H174,Variables!$B$26-J174)</f>
        <v/>
      </c>
      <c r="M174" s="11">
        <f>IF(AA174&gt;Variables!$B$18,Variables!$B$2-G174-H174,J174+K174)</f>
        <v/>
      </c>
      <c r="N174" s="11">
        <f>Variables!$B$9-AC174</f>
        <v/>
      </c>
      <c r="O174" s="12">
        <f>F174+N174</f>
        <v/>
      </c>
      <c r="P174" s="12">
        <f>MAX(0,C174+N174)</f>
        <v/>
      </c>
      <c r="Q174" s="12">
        <f>D174+MIN(0,C174+N174)</f>
        <v/>
      </c>
      <c r="R174">
        <f>IF(AA174&gt;Variables!$B$18,"Self-funder",IF(AA174&gt;Variables!$B$19,"Tariff band - council contributing","Council pays standard rate"))</f>
        <v/>
      </c>
      <c r="S174" s="12">
        <f>Variables!$B$18</f>
        <v/>
      </c>
      <c r="T174" s="12">
        <f>Variables!$B$19</f>
        <v/>
      </c>
      <c r="U174">
        <f>AA174&lt;=Variables!$B$18</f>
        <v/>
      </c>
      <c r="V174">
        <f>AA174&lt;=Variables!$B$19</f>
        <v/>
      </c>
      <c r="W174">
        <f>P174&lt;=0</f>
        <v/>
      </c>
      <c r="X174" s="12">
        <f>Variables!$B$28</f>
        <v/>
      </c>
      <c r="Y174">
        <f>AB174&lt;=Variables!$B$28</f>
        <v/>
      </c>
      <c r="Z174">
        <f>AB174&lt;=Variables!$B$18</f>
        <v/>
      </c>
      <c r="AA174" s="12">
        <f>AB173</f>
        <v/>
      </c>
      <c r="AB174" s="12">
        <f>AA174+Variables!$B$9-M174</f>
        <v/>
      </c>
      <c r="AC174" s="11">
        <f>IF(MOD(A174-1,Variables!$B$30)=0,Variables!$B$30*M174,0)</f>
        <v/>
      </c>
      <c r="AD174" s="12">
        <f>IF(A174=MATCH(TRUE,$Y$2:$Y$261,0),MAX($AB$2:$AB$261),IF(A174=MATCH(TRUE,$Y$2:$Y$261,0)-1,0,NA()))</f>
        <v/>
      </c>
      <c r="AE174" s="12">
        <f>IF(A174=MATCH(TRUE,$Z$2:$Z$261,0),MAX($AB$2:$AB$261),IF(A174=MATCH(TRUE,$Z$2:$Z$261,0)-1,0,NA()))</f>
        <v/>
      </c>
    </row>
    <row r="175">
      <c r="A175" t="n">
        <v>174</v>
      </c>
      <c r="B175" s="14">
        <f>Variables!$B$24+(A175-1)*7</f>
        <v/>
      </c>
      <c r="C175" s="12">
        <f>P174</f>
        <v/>
      </c>
      <c r="D175" s="12">
        <f>Q174</f>
        <v/>
      </c>
      <c r="E175" s="12">
        <f>C175+IF(A175&gt;Variables!$B$25,D175,0)</f>
        <v/>
      </c>
      <c r="F175" s="12">
        <f>C175+D175</f>
        <v/>
      </c>
      <c r="G175" s="11">
        <f>IF(A175&gt;Variables!$B$22,Variables!$B$12,0)</f>
        <v/>
      </c>
      <c r="H175" s="11">
        <f>IF(AND(A175&gt;Variables!$B$22,Variables!$B$14="Yes"),Variables!$B$13,0)</f>
        <v/>
      </c>
      <c r="I175" s="11">
        <f>IF(AA175&gt;Variables!$B$18,0,IF(AA175&gt;Variables!$B$19,CEILING((AA175-Variables!$B$19)/Variables!$B$21,1)*Variables!$B$20,0))</f>
        <v/>
      </c>
      <c r="J175" s="11">
        <f>IF(AA175&lt;=Variables!$B$18,MIN(Variables!$B$9-Variables!$B$8+I175,Variables!$B$26),0)</f>
        <v/>
      </c>
      <c r="K175" s="11">
        <f>IF(AA175&lt;=Variables!$B$18,Variables!$B$27,0)</f>
        <v/>
      </c>
      <c r="L175" s="11">
        <f>IF(AA175&gt;Variables!$B$18,G175+H175,Variables!$B$26-J175)</f>
        <v/>
      </c>
      <c r="M175" s="11">
        <f>IF(AA175&gt;Variables!$B$18,Variables!$B$2-G175-H175,J175+K175)</f>
        <v/>
      </c>
      <c r="N175" s="11">
        <f>Variables!$B$9-AC175</f>
        <v/>
      </c>
      <c r="O175" s="12">
        <f>F175+N175</f>
        <v/>
      </c>
      <c r="P175" s="12">
        <f>MAX(0,C175+N175)</f>
        <v/>
      </c>
      <c r="Q175" s="12">
        <f>D175+MIN(0,C175+N175)</f>
        <v/>
      </c>
      <c r="R175">
        <f>IF(AA175&gt;Variables!$B$18,"Self-funder",IF(AA175&gt;Variables!$B$19,"Tariff band - council contributing","Council pays standard rate"))</f>
        <v/>
      </c>
      <c r="S175" s="12">
        <f>Variables!$B$18</f>
        <v/>
      </c>
      <c r="T175" s="12">
        <f>Variables!$B$19</f>
        <v/>
      </c>
      <c r="U175">
        <f>AA175&lt;=Variables!$B$18</f>
        <v/>
      </c>
      <c r="V175">
        <f>AA175&lt;=Variables!$B$19</f>
        <v/>
      </c>
      <c r="W175">
        <f>P175&lt;=0</f>
        <v/>
      </c>
      <c r="X175" s="12">
        <f>Variables!$B$28</f>
        <v/>
      </c>
      <c r="Y175">
        <f>AB175&lt;=Variables!$B$28</f>
        <v/>
      </c>
      <c r="Z175">
        <f>AB175&lt;=Variables!$B$18</f>
        <v/>
      </c>
      <c r="AA175" s="12">
        <f>AB174</f>
        <v/>
      </c>
      <c r="AB175" s="12">
        <f>AA175+Variables!$B$9-M175</f>
        <v/>
      </c>
      <c r="AC175" s="11">
        <f>IF(MOD(A175-1,Variables!$B$30)=0,Variables!$B$30*M175,0)</f>
        <v/>
      </c>
      <c r="AD175" s="12">
        <f>IF(A175=MATCH(TRUE,$Y$2:$Y$261,0),MAX($AB$2:$AB$261),IF(A175=MATCH(TRUE,$Y$2:$Y$261,0)-1,0,NA()))</f>
        <v/>
      </c>
      <c r="AE175" s="12">
        <f>IF(A175=MATCH(TRUE,$Z$2:$Z$261,0),MAX($AB$2:$AB$261),IF(A175=MATCH(TRUE,$Z$2:$Z$261,0)-1,0,NA()))</f>
        <v/>
      </c>
    </row>
    <row r="176">
      <c r="A176" t="n">
        <v>175</v>
      </c>
      <c r="B176" s="14">
        <f>Variables!$B$24+(A176-1)*7</f>
        <v/>
      </c>
      <c r="C176" s="12">
        <f>P175</f>
        <v/>
      </c>
      <c r="D176" s="12">
        <f>Q175</f>
        <v/>
      </c>
      <c r="E176" s="12">
        <f>C176+IF(A176&gt;Variables!$B$25,D176,0)</f>
        <v/>
      </c>
      <c r="F176" s="12">
        <f>C176+D176</f>
        <v/>
      </c>
      <c r="G176" s="11">
        <f>IF(A176&gt;Variables!$B$22,Variables!$B$12,0)</f>
        <v/>
      </c>
      <c r="H176" s="11">
        <f>IF(AND(A176&gt;Variables!$B$22,Variables!$B$14="Yes"),Variables!$B$13,0)</f>
        <v/>
      </c>
      <c r="I176" s="11">
        <f>IF(AA176&gt;Variables!$B$18,0,IF(AA176&gt;Variables!$B$19,CEILING((AA176-Variables!$B$19)/Variables!$B$21,1)*Variables!$B$20,0))</f>
        <v/>
      </c>
      <c r="J176" s="11">
        <f>IF(AA176&lt;=Variables!$B$18,MIN(Variables!$B$9-Variables!$B$8+I176,Variables!$B$26),0)</f>
        <v/>
      </c>
      <c r="K176" s="11">
        <f>IF(AA176&lt;=Variables!$B$18,Variables!$B$27,0)</f>
        <v/>
      </c>
      <c r="L176" s="11">
        <f>IF(AA176&gt;Variables!$B$18,G176+H176,Variables!$B$26-J176)</f>
        <v/>
      </c>
      <c r="M176" s="11">
        <f>IF(AA176&gt;Variables!$B$18,Variables!$B$2-G176-H176,J176+K176)</f>
        <v/>
      </c>
      <c r="N176" s="11">
        <f>Variables!$B$9-AC176</f>
        <v/>
      </c>
      <c r="O176" s="12">
        <f>F176+N176</f>
        <v/>
      </c>
      <c r="P176" s="12">
        <f>MAX(0,C176+N176)</f>
        <v/>
      </c>
      <c r="Q176" s="12">
        <f>D176+MIN(0,C176+N176)</f>
        <v/>
      </c>
      <c r="R176">
        <f>IF(AA176&gt;Variables!$B$18,"Self-funder",IF(AA176&gt;Variables!$B$19,"Tariff band - council contributing","Council pays standard rate"))</f>
        <v/>
      </c>
      <c r="S176" s="12">
        <f>Variables!$B$18</f>
        <v/>
      </c>
      <c r="T176" s="12">
        <f>Variables!$B$19</f>
        <v/>
      </c>
      <c r="U176">
        <f>AA176&lt;=Variables!$B$18</f>
        <v/>
      </c>
      <c r="V176">
        <f>AA176&lt;=Variables!$B$19</f>
        <v/>
      </c>
      <c r="W176">
        <f>P176&lt;=0</f>
        <v/>
      </c>
      <c r="X176" s="12">
        <f>Variables!$B$28</f>
        <v/>
      </c>
      <c r="Y176">
        <f>AB176&lt;=Variables!$B$28</f>
        <v/>
      </c>
      <c r="Z176">
        <f>AB176&lt;=Variables!$B$18</f>
        <v/>
      </c>
      <c r="AA176" s="12">
        <f>AB175</f>
        <v/>
      </c>
      <c r="AB176" s="12">
        <f>AA176+Variables!$B$9-M176</f>
        <v/>
      </c>
      <c r="AC176" s="11">
        <f>IF(MOD(A176-1,Variables!$B$30)=0,Variables!$B$30*M176,0)</f>
        <v/>
      </c>
      <c r="AD176" s="12">
        <f>IF(A176=MATCH(TRUE,$Y$2:$Y$261,0),MAX($AB$2:$AB$261),IF(A176=MATCH(TRUE,$Y$2:$Y$261,0)-1,0,NA()))</f>
        <v/>
      </c>
      <c r="AE176" s="12">
        <f>IF(A176=MATCH(TRUE,$Z$2:$Z$261,0),MAX($AB$2:$AB$261),IF(A176=MATCH(TRUE,$Z$2:$Z$261,0)-1,0,NA()))</f>
        <v/>
      </c>
    </row>
    <row r="177">
      <c r="A177" t="n">
        <v>176</v>
      </c>
      <c r="B177" s="14">
        <f>Variables!$B$24+(A177-1)*7</f>
        <v/>
      </c>
      <c r="C177" s="12">
        <f>P176</f>
        <v/>
      </c>
      <c r="D177" s="12">
        <f>Q176</f>
        <v/>
      </c>
      <c r="E177" s="12">
        <f>C177+IF(A177&gt;Variables!$B$25,D177,0)</f>
        <v/>
      </c>
      <c r="F177" s="12">
        <f>C177+D177</f>
        <v/>
      </c>
      <c r="G177" s="11">
        <f>IF(A177&gt;Variables!$B$22,Variables!$B$12,0)</f>
        <v/>
      </c>
      <c r="H177" s="11">
        <f>IF(AND(A177&gt;Variables!$B$22,Variables!$B$14="Yes"),Variables!$B$13,0)</f>
        <v/>
      </c>
      <c r="I177" s="11">
        <f>IF(AA177&gt;Variables!$B$18,0,IF(AA177&gt;Variables!$B$19,CEILING((AA177-Variables!$B$19)/Variables!$B$21,1)*Variables!$B$20,0))</f>
        <v/>
      </c>
      <c r="J177" s="11">
        <f>IF(AA177&lt;=Variables!$B$18,MIN(Variables!$B$9-Variables!$B$8+I177,Variables!$B$26),0)</f>
        <v/>
      </c>
      <c r="K177" s="11">
        <f>IF(AA177&lt;=Variables!$B$18,Variables!$B$27,0)</f>
        <v/>
      </c>
      <c r="L177" s="11">
        <f>IF(AA177&gt;Variables!$B$18,G177+H177,Variables!$B$26-J177)</f>
        <v/>
      </c>
      <c r="M177" s="11">
        <f>IF(AA177&gt;Variables!$B$18,Variables!$B$2-G177-H177,J177+K177)</f>
        <v/>
      </c>
      <c r="N177" s="11">
        <f>Variables!$B$9-AC177</f>
        <v/>
      </c>
      <c r="O177" s="12">
        <f>F177+N177</f>
        <v/>
      </c>
      <c r="P177" s="12">
        <f>MAX(0,C177+N177)</f>
        <v/>
      </c>
      <c r="Q177" s="12">
        <f>D177+MIN(0,C177+N177)</f>
        <v/>
      </c>
      <c r="R177">
        <f>IF(AA177&gt;Variables!$B$18,"Self-funder",IF(AA177&gt;Variables!$B$19,"Tariff band - council contributing","Council pays standard rate"))</f>
        <v/>
      </c>
      <c r="S177" s="12">
        <f>Variables!$B$18</f>
        <v/>
      </c>
      <c r="T177" s="12">
        <f>Variables!$B$19</f>
        <v/>
      </c>
      <c r="U177">
        <f>AA177&lt;=Variables!$B$18</f>
        <v/>
      </c>
      <c r="V177">
        <f>AA177&lt;=Variables!$B$19</f>
        <v/>
      </c>
      <c r="W177">
        <f>P177&lt;=0</f>
        <v/>
      </c>
      <c r="X177" s="12">
        <f>Variables!$B$28</f>
        <v/>
      </c>
      <c r="Y177">
        <f>AB177&lt;=Variables!$B$28</f>
        <v/>
      </c>
      <c r="Z177">
        <f>AB177&lt;=Variables!$B$18</f>
        <v/>
      </c>
      <c r="AA177" s="12">
        <f>AB176</f>
        <v/>
      </c>
      <c r="AB177" s="12">
        <f>AA177+Variables!$B$9-M177</f>
        <v/>
      </c>
      <c r="AC177" s="11">
        <f>IF(MOD(A177-1,Variables!$B$30)=0,Variables!$B$30*M177,0)</f>
        <v/>
      </c>
      <c r="AD177" s="12">
        <f>IF(A177=MATCH(TRUE,$Y$2:$Y$261,0),MAX($AB$2:$AB$261),IF(A177=MATCH(TRUE,$Y$2:$Y$261,0)-1,0,NA()))</f>
        <v/>
      </c>
      <c r="AE177" s="12">
        <f>IF(A177=MATCH(TRUE,$Z$2:$Z$261,0),MAX($AB$2:$AB$261),IF(A177=MATCH(TRUE,$Z$2:$Z$261,0)-1,0,NA()))</f>
        <v/>
      </c>
    </row>
    <row r="178">
      <c r="A178" t="n">
        <v>177</v>
      </c>
      <c r="B178" s="14">
        <f>Variables!$B$24+(A178-1)*7</f>
        <v/>
      </c>
      <c r="C178" s="12">
        <f>P177</f>
        <v/>
      </c>
      <c r="D178" s="12">
        <f>Q177</f>
        <v/>
      </c>
      <c r="E178" s="12">
        <f>C178+IF(A178&gt;Variables!$B$25,D178,0)</f>
        <v/>
      </c>
      <c r="F178" s="12">
        <f>C178+D178</f>
        <v/>
      </c>
      <c r="G178" s="11">
        <f>IF(A178&gt;Variables!$B$22,Variables!$B$12,0)</f>
        <v/>
      </c>
      <c r="H178" s="11">
        <f>IF(AND(A178&gt;Variables!$B$22,Variables!$B$14="Yes"),Variables!$B$13,0)</f>
        <v/>
      </c>
      <c r="I178" s="11">
        <f>IF(AA178&gt;Variables!$B$18,0,IF(AA178&gt;Variables!$B$19,CEILING((AA178-Variables!$B$19)/Variables!$B$21,1)*Variables!$B$20,0))</f>
        <v/>
      </c>
      <c r="J178" s="11">
        <f>IF(AA178&lt;=Variables!$B$18,MIN(Variables!$B$9-Variables!$B$8+I178,Variables!$B$26),0)</f>
        <v/>
      </c>
      <c r="K178" s="11">
        <f>IF(AA178&lt;=Variables!$B$18,Variables!$B$27,0)</f>
        <v/>
      </c>
      <c r="L178" s="11">
        <f>IF(AA178&gt;Variables!$B$18,G178+H178,Variables!$B$26-J178)</f>
        <v/>
      </c>
      <c r="M178" s="11">
        <f>IF(AA178&gt;Variables!$B$18,Variables!$B$2-G178-H178,J178+K178)</f>
        <v/>
      </c>
      <c r="N178" s="11">
        <f>Variables!$B$9-AC178</f>
        <v/>
      </c>
      <c r="O178" s="12">
        <f>F178+N178</f>
        <v/>
      </c>
      <c r="P178" s="12">
        <f>MAX(0,C178+N178)</f>
        <v/>
      </c>
      <c r="Q178" s="12">
        <f>D178+MIN(0,C178+N178)</f>
        <v/>
      </c>
      <c r="R178">
        <f>IF(AA178&gt;Variables!$B$18,"Self-funder",IF(AA178&gt;Variables!$B$19,"Tariff band - council contributing","Council pays standard rate"))</f>
        <v/>
      </c>
      <c r="S178" s="12">
        <f>Variables!$B$18</f>
        <v/>
      </c>
      <c r="T178" s="12">
        <f>Variables!$B$19</f>
        <v/>
      </c>
      <c r="U178">
        <f>AA178&lt;=Variables!$B$18</f>
        <v/>
      </c>
      <c r="V178">
        <f>AA178&lt;=Variables!$B$19</f>
        <v/>
      </c>
      <c r="W178">
        <f>P178&lt;=0</f>
        <v/>
      </c>
      <c r="X178" s="12">
        <f>Variables!$B$28</f>
        <v/>
      </c>
      <c r="Y178">
        <f>AB178&lt;=Variables!$B$28</f>
        <v/>
      </c>
      <c r="Z178">
        <f>AB178&lt;=Variables!$B$18</f>
        <v/>
      </c>
      <c r="AA178" s="12">
        <f>AB177</f>
        <v/>
      </c>
      <c r="AB178" s="12">
        <f>AA178+Variables!$B$9-M178</f>
        <v/>
      </c>
      <c r="AC178" s="11">
        <f>IF(MOD(A178-1,Variables!$B$30)=0,Variables!$B$30*M178,0)</f>
        <v/>
      </c>
      <c r="AD178" s="12">
        <f>IF(A178=MATCH(TRUE,$Y$2:$Y$261,0),MAX($AB$2:$AB$261),IF(A178=MATCH(TRUE,$Y$2:$Y$261,0)-1,0,NA()))</f>
        <v/>
      </c>
      <c r="AE178" s="12">
        <f>IF(A178=MATCH(TRUE,$Z$2:$Z$261,0),MAX($AB$2:$AB$261),IF(A178=MATCH(TRUE,$Z$2:$Z$261,0)-1,0,NA()))</f>
        <v/>
      </c>
    </row>
    <row r="179">
      <c r="A179" t="n">
        <v>178</v>
      </c>
      <c r="B179" s="14">
        <f>Variables!$B$24+(A179-1)*7</f>
        <v/>
      </c>
      <c r="C179" s="12">
        <f>P178</f>
        <v/>
      </c>
      <c r="D179" s="12">
        <f>Q178</f>
        <v/>
      </c>
      <c r="E179" s="12">
        <f>C179+IF(A179&gt;Variables!$B$25,D179,0)</f>
        <v/>
      </c>
      <c r="F179" s="12">
        <f>C179+D179</f>
        <v/>
      </c>
      <c r="G179" s="11">
        <f>IF(A179&gt;Variables!$B$22,Variables!$B$12,0)</f>
        <v/>
      </c>
      <c r="H179" s="11">
        <f>IF(AND(A179&gt;Variables!$B$22,Variables!$B$14="Yes"),Variables!$B$13,0)</f>
        <v/>
      </c>
      <c r="I179" s="11">
        <f>IF(AA179&gt;Variables!$B$18,0,IF(AA179&gt;Variables!$B$19,CEILING((AA179-Variables!$B$19)/Variables!$B$21,1)*Variables!$B$20,0))</f>
        <v/>
      </c>
      <c r="J179" s="11">
        <f>IF(AA179&lt;=Variables!$B$18,MIN(Variables!$B$9-Variables!$B$8+I179,Variables!$B$26),0)</f>
        <v/>
      </c>
      <c r="K179" s="11">
        <f>IF(AA179&lt;=Variables!$B$18,Variables!$B$27,0)</f>
        <v/>
      </c>
      <c r="L179" s="11">
        <f>IF(AA179&gt;Variables!$B$18,G179+H179,Variables!$B$26-J179)</f>
        <v/>
      </c>
      <c r="M179" s="11">
        <f>IF(AA179&gt;Variables!$B$18,Variables!$B$2-G179-H179,J179+K179)</f>
        <v/>
      </c>
      <c r="N179" s="11">
        <f>Variables!$B$9-AC179</f>
        <v/>
      </c>
      <c r="O179" s="12">
        <f>F179+N179</f>
        <v/>
      </c>
      <c r="P179" s="12">
        <f>MAX(0,C179+N179)</f>
        <v/>
      </c>
      <c r="Q179" s="12">
        <f>D179+MIN(0,C179+N179)</f>
        <v/>
      </c>
      <c r="R179">
        <f>IF(AA179&gt;Variables!$B$18,"Self-funder",IF(AA179&gt;Variables!$B$19,"Tariff band - council contributing","Council pays standard rate"))</f>
        <v/>
      </c>
      <c r="S179" s="12">
        <f>Variables!$B$18</f>
        <v/>
      </c>
      <c r="T179" s="12">
        <f>Variables!$B$19</f>
        <v/>
      </c>
      <c r="U179">
        <f>AA179&lt;=Variables!$B$18</f>
        <v/>
      </c>
      <c r="V179">
        <f>AA179&lt;=Variables!$B$19</f>
        <v/>
      </c>
      <c r="W179">
        <f>P179&lt;=0</f>
        <v/>
      </c>
      <c r="X179" s="12">
        <f>Variables!$B$28</f>
        <v/>
      </c>
      <c r="Y179">
        <f>AB179&lt;=Variables!$B$28</f>
        <v/>
      </c>
      <c r="Z179">
        <f>AB179&lt;=Variables!$B$18</f>
        <v/>
      </c>
      <c r="AA179" s="12">
        <f>AB178</f>
        <v/>
      </c>
      <c r="AB179" s="12">
        <f>AA179+Variables!$B$9-M179</f>
        <v/>
      </c>
      <c r="AC179" s="11">
        <f>IF(MOD(A179-1,Variables!$B$30)=0,Variables!$B$30*M179,0)</f>
        <v/>
      </c>
      <c r="AD179" s="12">
        <f>IF(A179=MATCH(TRUE,$Y$2:$Y$261,0),MAX($AB$2:$AB$261),IF(A179=MATCH(TRUE,$Y$2:$Y$261,0)-1,0,NA()))</f>
        <v/>
      </c>
      <c r="AE179" s="12">
        <f>IF(A179=MATCH(TRUE,$Z$2:$Z$261,0),MAX($AB$2:$AB$261),IF(A179=MATCH(TRUE,$Z$2:$Z$261,0)-1,0,NA()))</f>
        <v/>
      </c>
    </row>
    <row r="180">
      <c r="A180" t="n">
        <v>179</v>
      </c>
      <c r="B180" s="14">
        <f>Variables!$B$24+(A180-1)*7</f>
        <v/>
      </c>
      <c r="C180" s="12">
        <f>P179</f>
        <v/>
      </c>
      <c r="D180" s="12">
        <f>Q179</f>
        <v/>
      </c>
      <c r="E180" s="12">
        <f>C180+IF(A180&gt;Variables!$B$25,D180,0)</f>
        <v/>
      </c>
      <c r="F180" s="12">
        <f>C180+D180</f>
        <v/>
      </c>
      <c r="G180" s="11">
        <f>IF(A180&gt;Variables!$B$22,Variables!$B$12,0)</f>
        <v/>
      </c>
      <c r="H180" s="11">
        <f>IF(AND(A180&gt;Variables!$B$22,Variables!$B$14="Yes"),Variables!$B$13,0)</f>
        <v/>
      </c>
      <c r="I180" s="11">
        <f>IF(AA180&gt;Variables!$B$18,0,IF(AA180&gt;Variables!$B$19,CEILING((AA180-Variables!$B$19)/Variables!$B$21,1)*Variables!$B$20,0))</f>
        <v/>
      </c>
      <c r="J180" s="11">
        <f>IF(AA180&lt;=Variables!$B$18,MIN(Variables!$B$9-Variables!$B$8+I180,Variables!$B$26),0)</f>
        <v/>
      </c>
      <c r="K180" s="11">
        <f>IF(AA180&lt;=Variables!$B$18,Variables!$B$27,0)</f>
        <v/>
      </c>
      <c r="L180" s="11">
        <f>IF(AA180&gt;Variables!$B$18,G180+H180,Variables!$B$26-J180)</f>
        <v/>
      </c>
      <c r="M180" s="11">
        <f>IF(AA180&gt;Variables!$B$18,Variables!$B$2-G180-H180,J180+K180)</f>
        <v/>
      </c>
      <c r="N180" s="11">
        <f>Variables!$B$9-AC180</f>
        <v/>
      </c>
      <c r="O180" s="12">
        <f>F180+N180</f>
        <v/>
      </c>
      <c r="P180" s="12">
        <f>MAX(0,C180+N180)</f>
        <v/>
      </c>
      <c r="Q180" s="12">
        <f>D180+MIN(0,C180+N180)</f>
        <v/>
      </c>
      <c r="R180">
        <f>IF(AA180&gt;Variables!$B$18,"Self-funder",IF(AA180&gt;Variables!$B$19,"Tariff band - council contributing","Council pays standard rate"))</f>
        <v/>
      </c>
      <c r="S180" s="12">
        <f>Variables!$B$18</f>
        <v/>
      </c>
      <c r="T180" s="12">
        <f>Variables!$B$19</f>
        <v/>
      </c>
      <c r="U180">
        <f>AA180&lt;=Variables!$B$18</f>
        <v/>
      </c>
      <c r="V180">
        <f>AA180&lt;=Variables!$B$19</f>
        <v/>
      </c>
      <c r="W180">
        <f>P180&lt;=0</f>
        <v/>
      </c>
      <c r="X180" s="12">
        <f>Variables!$B$28</f>
        <v/>
      </c>
      <c r="Y180">
        <f>AB180&lt;=Variables!$B$28</f>
        <v/>
      </c>
      <c r="Z180">
        <f>AB180&lt;=Variables!$B$18</f>
        <v/>
      </c>
      <c r="AA180" s="12">
        <f>AB179</f>
        <v/>
      </c>
      <c r="AB180" s="12">
        <f>AA180+Variables!$B$9-M180</f>
        <v/>
      </c>
      <c r="AC180" s="11">
        <f>IF(MOD(A180-1,Variables!$B$30)=0,Variables!$B$30*M180,0)</f>
        <v/>
      </c>
      <c r="AD180" s="12">
        <f>IF(A180=MATCH(TRUE,$Y$2:$Y$261,0),MAX($AB$2:$AB$261),IF(A180=MATCH(TRUE,$Y$2:$Y$261,0)-1,0,NA()))</f>
        <v/>
      </c>
      <c r="AE180" s="12">
        <f>IF(A180=MATCH(TRUE,$Z$2:$Z$261,0),MAX($AB$2:$AB$261),IF(A180=MATCH(TRUE,$Z$2:$Z$261,0)-1,0,NA()))</f>
        <v/>
      </c>
    </row>
    <row r="181">
      <c r="A181" t="n">
        <v>180</v>
      </c>
      <c r="B181" s="14">
        <f>Variables!$B$24+(A181-1)*7</f>
        <v/>
      </c>
      <c r="C181" s="12">
        <f>P180</f>
        <v/>
      </c>
      <c r="D181" s="12">
        <f>Q180</f>
        <v/>
      </c>
      <c r="E181" s="12">
        <f>C181+IF(A181&gt;Variables!$B$25,D181,0)</f>
        <v/>
      </c>
      <c r="F181" s="12">
        <f>C181+D181</f>
        <v/>
      </c>
      <c r="G181" s="11">
        <f>IF(A181&gt;Variables!$B$22,Variables!$B$12,0)</f>
        <v/>
      </c>
      <c r="H181" s="11">
        <f>IF(AND(A181&gt;Variables!$B$22,Variables!$B$14="Yes"),Variables!$B$13,0)</f>
        <v/>
      </c>
      <c r="I181" s="11">
        <f>IF(AA181&gt;Variables!$B$18,0,IF(AA181&gt;Variables!$B$19,CEILING((AA181-Variables!$B$19)/Variables!$B$21,1)*Variables!$B$20,0))</f>
        <v/>
      </c>
      <c r="J181" s="11">
        <f>IF(AA181&lt;=Variables!$B$18,MIN(Variables!$B$9-Variables!$B$8+I181,Variables!$B$26),0)</f>
        <v/>
      </c>
      <c r="K181" s="11">
        <f>IF(AA181&lt;=Variables!$B$18,Variables!$B$27,0)</f>
        <v/>
      </c>
      <c r="L181" s="11">
        <f>IF(AA181&gt;Variables!$B$18,G181+H181,Variables!$B$26-J181)</f>
        <v/>
      </c>
      <c r="M181" s="11">
        <f>IF(AA181&gt;Variables!$B$18,Variables!$B$2-G181-H181,J181+K181)</f>
        <v/>
      </c>
      <c r="N181" s="11">
        <f>Variables!$B$9-AC181</f>
        <v/>
      </c>
      <c r="O181" s="12">
        <f>F181+N181</f>
        <v/>
      </c>
      <c r="P181" s="12">
        <f>MAX(0,C181+N181)</f>
        <v/>
      </c>
      <c r="Q181" s="12">
        <f>D181+MIN(0,C181+N181)</f>
        <v/>
      </c>
      <c r="R181">
        <f>IF(AA181&gt;Variables!$B$18,"Self-funder",IF(AA181&gt;Variables!$B$19,"Tariff band - council contributing","Council pays standard rate"))</f>
        <v/>
      </c>
      <c r="S181" s="12">
        <f>Variables!$B$18</f>
        <v/>
      </c>
      <c r="T181" s="12">
        <f>Variables!$B$19</f>
        <v/>
      </c>
      <c r="U181">
        <f>AA181&lt;=Variables!$B$18</f>
        <v/>
      </c>
      <c r="V181">
        <f>AA181&lt;=Variables!$B$19</f>
        <v/>
      </c>
      <c r="W181">
        <f>P181&lt;=0</f>
        <v/>
      </c>
      <c r="X181" s="12">
        <f>Variables!$B$28</f>
        <v/>
      </c>
      <c r="Y181">
        <f>AB181&lt;=Variables!$B$28</f>
        <v/>
      </c>
      <c r="Z181">
        <f>AB181&lt;=Variables!$B$18</f>
        <v/>
      </c>
      <c r="AA181" s="12">
        <f>AB180</f>
        <v/>
      </c>
      <c r="AB181" s="12">
        <f>AA181+Variables!$B$9-M181</f>
        <v/>
      </c>
      <c r="AC181" s="11">
        <f>IF(MOD(A181-1,Variables!$B$30)=0,Variables!$B$30*M181,0)</f>
        <v/>
      </c>
      <c r="AD181" s="12">
        <f>IF(A181=MATCH(TRUE,$Y$2:$Y$261,0),MAX($AB$2:$AB$261),IF(A181=MATCH(TRUE,$Y$2:$Y$261,0)-1,0,NA()))</f>
        <v/>
      </c>
      <c r="AE181" s="12">
        <f>IF(A181=MATCH(TRUE,$Z$2:$Z$261,0),MAX($AB$2:$AB$261),IF(A181=MATCH(TRUE,$Z$2:$Z$261,0)-1,0,NA()))</f>
        <v/>
      </c>
    </row>
    <row r="182">
      <c r="A182" t="n">
        <v>181</v>
      </c>
      <c r="B182" s="14">
        <f>Variables!$B$24+(A182-1)*7</f>
        <v/>
      </c>
      <c r="C182" s="12">
        <f>P181</f>
        <v/>
      </c>
      <c r="D182" s="12">
        <f>Q181</f>
        <v/>
      </c>
      <c r="E182" s="12">
        <f>C182+IF(A182&gt;Variables!$B$25,D182,0)</f>
        <v/>
      </c>
      <c r="F182" s="12">
        <f>C182+D182</f>
        <v/>
      </c>
      <c r="G182" s="11">
        <f>IF(A182&gt;Variables!$B$22,Variables!$B$12,0)</f>
        <v/>
      </c>
      <c r="H182" s="11">
        <f>IF(AND(A182&gt;Variables!$B$22,Variables!$B$14="Yes"),Variables!$B$13,0)</f>
        <v/>
      </c>
      <c r="I182" s="11">
        <f>IF(AA182&gt;Variables!$B$18,0,IF(AA182&gt;Variables!$B$19,CEILING((AA182-Variables!$B$19)/Variables!$B$21,1)*Variables!$B$20,0))</f>
        <v/>
      </c>
      <c r="J182" s="11">
        <f>IF(AA182&lt;=Variables!$B$18,MIN(Variables!$B$9-Variables!$B$8+I182,Variables!$B$26),0)</f>
        <v/>
      </c>
      <c r="K182" s="11">
        <f>IF(AA182&lt;=Variables!$B$18,Variables!$B$27,0)</f>
        <v/>
      </c>
      <c r="L182" s="11">
        <f>IF(AA182&gt;Variables!$B$18,G182+H182,Variables!$B$26-J182)</f>
        <v/>
      </c>
      <c r="M182" s="11">
        <f>IF(AA182&gt;Variables!$B$18,Variables!$B$2-G182-H182,J182+K182)</f>
        <v/>
      </c>
      <c r="N182" s="11">
        <f>Variables!$B$9-AC182</f>
        <v/>
      </c>
      <c r="O182" s="12">
        <f>F182+N182</f>
        <v/>
      </c>
      <c r="P182" s="12">
        <f>MAX(0,C182+N182)</f>
        <v/>
      </c>
      <c r="Q182" s="12">
        <f>D182+MIN(0,C182+N182)</f>
        <v/>
      </c>
      <c r="R182">
        <f>IF(AA182&gt;Variables!$B$18,"Self-funder",IF(AA182&gt;Variables!$B$19,"Tariff band - council contributing","Council pays standard rate"))</f>
        <v/>
      </c>
      <c r="S182" s="12">
        <f>Variables!$B$18</f>
        <v/>
      </c>
      <c r="T182" s="12">
        <f>Variables!$B$19</f>
        <v/>
      </c>
      <c r="U182">
        <f>AA182&lt;=Variables!$B$18</f>
        <v/>
      </c>
      <c r="V182">
        <f>AA182&lt;=Variables!$B$19</f>
        <v/>
      </c>
      <c r="W182">
        <f>P182&lt;=0</f>
        <v/>
      </c>
      <c r="X182" s="12">
        <f>Variables!$B$28</f>
        <v/>
      </c>
      <c r="Y182">
        <f>AB182&lt;=Variables!$B$28</f>
        <v/>
      </c>
      <c r="Z182">
        <f>AB182&lt;=Variables!$B$18</f>
        <v/>
      </c>
      <c r="AA182" s="12">
        <f>AB181</f>
        <v/>
      </c>
      <c r="AB182" s="12">
        <f>AA182+Variables!$B$9-M182</f>
        <v/>
      </c>
      <c r="AC182" s="11">
        <f>IF(MOD(A182-1,Variables!$B$30)=0,Variables!$B$30*M182,0)</f>
        <v/>
      </c>
      <c r="AD182" s="12">
        <f>IF(A182=MATCH(TRUE,$Y$2:$Y$261,0),MAX($AB$2:$AB$261),IF(A182=MATCH(TRUE,$Y$2:$Y$261,0)-1,0,NA()))</f>
        <v/>
      </c>
      <c r="AE182" s="12">
        <f>IF(A182=MATCH(TRUE,$Z$2:$Z$261,0),MAX($AB$2:$AB$261),IF(A182=MATCH(TRUE,$Z$2:$Z$261,0)-1,0,NA()))</f>
        <v/>
      </c>
    </row>
    <row r="183">
      <c r="A183" t="n">
        <v>182</v>
      </c>
      <c r="B183" s="14">
        <f>Variables!$B$24+(A183-1)*7</f>
        <v/>
      </c>
      <c r="C183" s="12">
        <f>P182</f>
        <v/>
      </c>
      <c r="D183" s="12">
        <f>Q182</f>
        <v/>
      </c>
      <c r="E183" s="12">
        <f>C183+IF(A183&gt;Variables!$B$25,D183,0)</f>
        <v/>
      </c>
      <c r="F183" s="12">
        <f>C183+D183</f>
        <v/>
      </c>
      <c r="G183" s="11">
        <f>IF(A183&gt;Variables!$B$22,Variables!$B$12,0)</f>
        <v/>
      </c>
      <c r="H183" s="11">
        <f>IF(AND(A183&gt;Variables!$B$22,Variables!$B$14="Yes"),Variables!$B$13,0)</f>
        <v/>
      </c>
      <c r="I183" s="11">
        <f>IF(AA183&gt;Variables!$B$18,0,IF(AA183&gt;Variables!$B$19,CEILING((AA183-Variables!$B$19)/Variables!$B$21,1)*Variables!$B$20,0))</f>
        <v/>
      </c>
      <c r="J183" s="11">
        <f>IF(AA183&lt;=Variables!$B$18,MIN(Variables!$B$9-Variables!$B$8+I183,Variables!$B$26),0)</f>
        <v/>
      </c>
      <c r="K183" s="11">
        <f>IF(AA183&lt;=Variables!$B$18,Variables!$B$27,0)</f>
        <v/>
      </c>
      <c r="L183" s="11">
        <f>IF(AA183&gt;Variables!$B$18,G183+H183,Variables!$B$26-J183)</f>
        <v/>
      </c>
      <c r="M183" s="11">
        <f>IF(AA183&gt;Variables!$B$18,Variables!$B$2-G183-H183,J183+K183)</f>
        <v/>
      </c>
      <c r="N183" s="11">
        <f>Variables!$B$9-AC183</f>
        <v/>
      </c>
      <c r="O183" s="12">
        <f>F183+N183</f>
        <v/>
      </c>
      <c r="P183" s="12">
        <f>MAX(0,C183+N183)</f>
        <v/>
      </c>
      <c r="Q183" s="12">
        <f>D183+MIN(0,C183+N183)</f>
        <v/>
      </c>
      <c r="R183">
        <f>IF(AA183&gt;Variables!$B$18,"Self-funder",IF(AA183&gt;Variables!$B$19,"Tariff band - council contributing","Council pays standard rate"))</f>
        <v/>
      </c>
      <c r="S183" s="12">
        <f>Variables!$B$18</f>
        <v/>
      </c>
      <c r="T183" s="12">
        <f>Variables!$B$19</f>
        <v/>
      </c>
      <c r="U183">
        <f>AA183&lt;=Variables!$B$18</f>
        <v/>
      </c>
      <c r="V183">
        <f>AA183&lt;=Variables!$B$19</f>
        <v/>
      </c>
      <c r="W183">
        <f>P183&lt;=0</f>
        <v/>
      </c>
      <c r="X183" s="12">
        <f>Variables!$B$28</f>
        <v/>
      </c>
      <c r="Y183">
        <f>AB183&lt;=Variables!$B$28</f>
        <v/>
      </c>
      <c r="Z183">
        <f>AB183&lt;=Variables!$B$18</f>
        <v/>
      </c>
      <c r="AA183" s="12">
        <f>AB182</f>
        <v/>
      </c>
      <c r="AB183" s="12">
        <f>AA183+Variables!$B$9-M183</f>
        <v/>
      </c>
      <c r="AC183" s="11">
        <f>IF(MOD(A183-1,Variables!$B$30)=0,Variables!$B$30*M183,0)</f>
        <v/>
      </c>
      <c r="AD183" s="12">
        <f>IF(A183=MATCH(TRUE,$Y$2:$Y$261,0),MAX($AB$2:$AB$261),IF(A183=MATCH(TRUE,$Y$2:$Y$261,0)-1,0,NA()))</f>
        <v/>
      </c>
      <c r="AE183" s="12">
        <f>IF(A183=MATCH(TRUE,$Z$2:$Z$261,0),MAX($AB$2:$AB$261),IF(A183=MATCH(TRUE,$Z$2:$Z$261,0)-1,0,NA()))</f>
        <v/>
      </c>
    </row>
    <row r="184">
      <c r="A184" t="n">
        <v>183</v>
      </c>
      <c r="B184" s="14">
        <f>Variables!$B$24+(A184-1)*7</f>
        <v/>
      </c>
      <c r="C184" s="12">
        <f>P183</f>
        <v/>
      </c>
      <c r="D184" s="12">
        <f>Q183</f>
        <v/>
      </c>
      <c r="E184" s="12">
        <f>C184+IF(A184&gt;Variables!$B$25,D184,0)</f>
        <v/>
      </c>
      <c r="F184" s="12">
        <f>C184+D184</f>
        <v/>
      </c>
      <c r="G184" s="11">
        <f>IF(A184&gt;Variables!$B$22,Variables!$B$12,0)</f>
        <v/>
      </c>
      <c r="H184" s="11">
        <f>IF(AND(A184&gt;Variables!$B$22,Variables!$B$14="Yes"),Variables!$B$13,0)</f>
        <v/>
      </c>
      <c r="I184" s="11">
        <f>IF(AA184&gt;Variables!$B$18,0,IF(AA184&gt;Variables!$B$19,CEILING((AA184-Variables!$B$19)/Variables!$B$21,1)*Variables!$B$20,0))</f>
        <v/>
      </c>
      <c r="J184" s="11">
        <f>IF(AA184&lt;=Variables!$B$18,MIN(Variables!$B$9-Variables!$B$8+I184,Variables!$B$26),0)</f>
        <v/>
      </c>
      <c r="K184" s="11">
        <f>IF(AA184&lt;=Variables!$B$18,Variables!$B$27,0)</f>
        <v/>
      </c>
      <c r="L184" s="11">
        <f>IF(AA184&gt;Variables!$B$18,G184+H184,Variables!$B$26-J184)</f>
        <v/>
      </c>
      <c r="M184" s="11">
        <f>IF(AA184&gt;Variables!$B$18,Variables!$B$2-G184-H184,J184+K184)</f>
        <v/>
      </c>
      <c r="N184" s="11">
        <f>Variables!$B$9-AC184</f>
        <v/>
      </c>
      <c r="O184" s="12">
        <f>F184+N184</f>
        <v/>
      </c>
      <c r="P184" s="12">
        <f>MAX(0,C184+N184)</f>
        <v/>
      </c>
      <c r="Q184" s="12">
        <f>D184+MIN(0,C184+N184)</f>
        <v/>
      </c>
      <c r="R184">
        <f>IF(AA184&gt;Variables!$B$18,"Self-funder",IF(AA184&gt;Variables!$B$19,"Tariff band - council contributing","Council pays standard rate"))</f>
        <v/>
      </c>
      <c r="S184" s="12">
        <f>Variables!$B$18</f>
        <v/>
      </c>
      <c r="T184" s="12">
        <f>Variables!$B$19</f>
        <v/>
      </c>
      <c r="U184">
        <f>AA184&lt;=Variables!$B$18</f>
        <v/>
      </c>
      <c r="V184">
        <f>AA184&lt;=Variables!$B$19</f>
        <v/>
      </c>
      <c r="W184">
        <f>P184&lt;=0</f>
        <v/>
      </c>
      <c r="X184" s="12">
        <f>Variables!$B$28</f>
        <v/>
      </c>
      <c r="Y184">
        <f>AB184&lt;=Variables!$B$28</f>
        <v/>
      </c>
      <c r="Z184">
        <f>AB184&lt;=Variables!$B$18</f>
        <v/>
      </c>
      <c r="AA184" s="12">
        <f>AB183</f>
        <v/>
      </c>
      <c r="AB184" s="12">
        <f>AA184+Variables!$B$9-M184</f>
        <v/>
      </c>
      <c r="AC184" s="11">
        <f>IF(MOD(A184-1,Variables!$B$30)=0,Variables!$B$30*M184,0)</f>
        <v/>
      </c>
      <c r="AD184" s="12">
        <f>IF(A184=MATCH(TRUE,$Y$2:$Y$261,0),MAX($AB$2:$AB$261),IF(A184=MATCH(TRUE,$Y$2:$Y$261,0)-1,0,NA()))</f>
        <v/>
      </c>
      <c r="AE184" s="12">
        <f>IF(A184=MATCH(TRUE,$Z$2:$Z$261,0),MAX($AB$2:$AB$261),IF(A184=MATCH(TRUE,$Z$2:$Z$261,0)-1,0,NA()))</f>
        <v/>
      </c>
    </row>
    <row r="185">
      <c r="A185" t="n">
        <v>184</v>
      </c>
      <c r="B185" s="14">
        <f>Variables!$B$24+(A185-1)*7</f>
        <v/>
      </c>
      <c r="C185" s="12">
        <f>P184</f>
        <v/>
      </c>
      <c r="D185" s="12">
        <f>Q184</f>
        <v/>
      </c>
      <c r="E185" s="12">
        <f>C185+IF(A185&gt;Variables!$B$25,D185,0)</f>
        <v/>
      </c>
      <c r="F185" s="12">
        <f>C185+D185</f>
        <v/>
      </c>
      <c r="G185" s="11">
        <f>IF(A185&gt;Variables!$B$22,Variables!$B$12,0)</f>
        <v/>
      </c>
      <c r="H185" s="11">
        <f>IF(AND(A185&gt;Variables!$B$22,Variables!$B$14="Yes"),Variables!$B$13,0)</f>
        <v/>
      </c>
      <c r="I185" s="11">
        <f>IF(AA185&gt;Variables!$B$18,0,IF(AA185&gt;Variables!$B$19,CEILING((AA185-Variables!$B$19)/Variables!$B$21,1)*Variables!$B$20,0))</f>
        <v/>
      </c>
      <c r="J185" s="11">
        <f>IF(AA185&lt;=Variables!$B$18,MIN(Variables!$B$9-Variables!$B$8+I185,Variables!$B$26),0)</f>
        <v/>
      </c>
      <c r="K185" s="11">
        <f>IF(AA185&lt;=Variables!$B$18,Variables!$B$27,0)</f>
        <v/>
      </c>
      <c r="L185" s="11">
        <f>IF(AA185&gt;Variables!$B$18,G185+H185,Variables!$B$26-J185)</f>
        <v/>
      </c>
      <c r="M185" s="11">
        <f>IF(AA185&gt;Variables!$B$18,Variables!$B$2-G185-H185,J185+K185)</f>
        <v/>
      </c>
      <c r="N185" s="11">
        <f>Variables!$B$9-AC185</f>
        <v/>
      </c>
      <c r="O185" s="12">
        <f>F185+N185</f>
        <v/>
      </c>
      <c r="P185" s="12">
        <f>MAX(0,C185+N185)</f>
        <v/>
      </c>
      <c r="Q185" s="12">
        <f>D185+MIN(0,C185+N185)</f>
        <v/>
      </c>
      <c r="R185">
        <f>IF(AA185&gt;Variables!$B$18,"Self-funder",IF(AA185&gt;Variables!$B$19,"Tariff band - council contributing","Council pays standard rate"))</f>
        <v/>
      </c>
      <c r="S185" s="12">
        <f>Variables!$B$18</f>
        <v/>
      </c>
      <c r="T185" s="12">
        <f>Variables!$B$19</f>
        <v/>
      </c>
      <c r="U185">
        <f>AA185&lt;=Variables!$B$18</f>
        <v/>
      </c>
      <c r="V185">
        <f>AA185&lt;=Variables!$B$19</f>
        <v/>
      </c>
      <c r="W185">
        <f>P185&lt;=0</f>
        <v/>
      </c>
      <c r="X185" s="12">
        <f>Variables!$B$28</f>
        <v/>
      </c>
      <c r="Y185">
        <f>AB185&lt;=Variables!$B$28</f>
        <v/>
      </c>
      <c r="Z185">
        <f>AB185&lt;=Variables!$B$18</f>
        <v/>
      </c>
      <c r="AA185" s="12">
        <f>AB184</f>
        <v/>
      </c>
      <c r="AB185" s="12">
        <f>AA185+Variables!$B$9-M185</f>
        <v/>
      </c>
      <c r="AC185" s="11">
        <f>IF(MOD(A185-1,Variables!$B$30)=0,Variables!$B$30*M185,0)</f>
        <v/>
      </c>
      <c r="AD185" s="12">
        <f>IF(A185=MATCH(TRUE,$Y$2:$Y$261,0),MAX($AB$2:$AB$261),IF(A185=MATCH(TRUE,$Y$2:$Y$261,0)-1,0,NA()))</f>
        <v/>
      </c>
      <c r="AE185" s="12">
        <f>IF(A185=MATCH(TRUE,$Z$2:$Z$261,0),MAX($AB$2:$AB$261),IF(A185=MATCH(TRUE,$Z$2:$Z$261,0)-1,0,NA()))</f>
        <v/>
      </c>
    </row>
    <row r="186">
      <c r="A186" t="n">
        <v>185</v>
      </c>
      <c r="B186" s="14">
        <f>Variables!$B$24+(A186-1)*7</f>
        <v/>
      </c>
      <c r="C186" s="12">
        <f>P185</f>
        <v/>
      </c>
      <c r="D186" s="12">
        <f>Q185</f>
        <v/>
      </c>
      <c r="E186" s="12">
        <f>C186+IF(A186&gt;Variables!$B$25,D186,0)</f>
        <v/>
      </c>
      <c r="F186" s="12">
        <f>C186+D186</f>
        <v/>
      </c>
      <c r="G186" s="11">
        <f>IF(A186&gt;Variables!$B$22,Variables!$B$12,0)</f>
        <v/>
      </c>
      <c r="H186" s="11">
        <f>IF(AND(A186&gt;Variables!$B$22,Variables!$B$14="Yes"),Variables!$B$13,0)</f>
        <v/>
      </c>
      <c r="I186" s="11">
        <f>IF(AA186&gt;Variables!$B$18,0,IF(AA186&gt;Variables!$B$19,CEILING((AA186-Variables!$B$19)/Variables!$B$21,1)*Variables!$B$20,0))</f>
        <v/>
      </c>
      <c r="J186" s="11">
        <f>IF(AA186&lt;=Variables!$B$18,MIN(Variables!$B$9-Variables!$B$8+I186,Variables!$B$26),0)</f>
        <v/>
      </c>
      <c r="K186" s="11">
        <f>IF(AA186&lt;=Variables!$B$18,Variables!$B$27,0)</f>
        <v/>
      </c>
      <c r="L186" s="11">
        <f>IF(AA186&gt;Variables!$B$18,G186+H186,Variables!$B$26-J186)</f>
        <v/>
      </c>
      <c r="M186" s="11">
        <f>IF(AA186&gt;Variables!$B$18,Variables!$B$2-G186-H186,J186+K186)</f>
        <v/>
      </c>
      <c r="N186" s="11">
        <f>Variables!$B$9-AC186</f>
        <v/>
      </c>
      <c r="O186" s="12">
        <f>F186+N186</f>
        <v/>
      </c>
      <c r="P186" s="12">
        <f>MAX(0,C186+N186)</f>
        <v/>
      </c>
      <c r="Q186" s="12">
        <f>D186+MIN(0,C186+N186)</f>
        <v/>
      </c>
      <c r="R186">
        <f>IF(AA186&gt;Variables!$B$18,"Self-funder",IF(AA186&gt;Variables!$B$19,"Tariff band - council contributing","Council pays standard rate"))</f>
        <v/>
      </c>
      <c r="S186" s="12">
        <f>Variables!$B$18</f>
        <v/>
      </c>
      <c r="T186" s="12">
        <f>Variables!$B$19</f>
        <v/>
      </c>
      <c r="U186">
        <f>AA186&lt;=Variables!$B$18</f>
        <v/>
      </c>
      <c r="V186">
        <f>AA186&lt;=Variables!$B$19</f>
        <v/>
      </c>
      <c r="W186">
        <f>P186&lt;=0</f>
        <v/>
      </c>
      <c r="X186" s="12">
        <f>Variables!$B$28</f>
        <v/>
      </c>
      <c r="Y186">
        <f>AB186&lt;=Variables!$B$28</f>
        <v/>
      </c>
      <c r="Z186">
        <f>AB186&lt;=Variables!$B$18</f>
        <v/>
      </c>
      <c r="AA186" s="12">
        <f>AB185</f>
        <v/>
      </c>
      <c r="AB186" s="12">
        <f>AA186+Variables!$B$9-M186</f>
        <v/>
      </c>
      <c r="AC186" s="11">
        <f>IF(MOD(A186-1,Variables!$B$30)=0,Variables!$B$30*M186,0)</f>
        <v/>
      </c>
      <c r="AD186" s="12">
        <f>IF(A186=MATCH(TRUE,$Y$2:$Y$261,0),MAX($AB$2:$AB$261),IF(A186=MATCH(TRUE,$Y$2:$Y$261,0)-1,0,NA()))</f>
        <v/>
      </c>
      <c r="AE186" s="12">
        <f>IF(A186=MATCH(TRUE,$Z$2:$Z$261,0),MAX($AB$2:$AB$261),IF(A186=MATCH(TRUE,$Z$2:$Z$261,0)-1,0,NA()))</f>
        <v/>
      </c>
    </row>
    <row r="187">
      <c r="A187" t="n">
        <v>186</v>
      </c>
      <c r="B187" s="14">
        <f>Variables!$B$24+(A187-1)*7</f>
        <v/>
      </c>
      <c r="C187" s="12">
        <f>P186</f>
        <v/>
      </c>
      <c r="D187" s="12">
        <f>Q186</f>
        <v/>
      </c>
      <c r="E187" s="12">
        <f>C187+IF(A187&gt;Variables!$B$25,D187,0)</f>
        <v/>
      </c>
      <c r="F187" s="12">
        <f>C187+D187</f>
        <v/>
      </c>
      <c r="G187" s="11">
        <f>IF(A187&gt;Variables!$B$22,Variables!$B$12,0)</f>
        <v/>
      </c>
      <c r="H187" s="11">
        <f>IF(AND(A187&gt;Variables!$B$22,Variables!$B$14="Yes"),Variables!$B$13,0)</f>
        <v/>
      </c>
      <c r="I187" s="11">
        <f>IF(AA187&gt;Variables!$B$18,0,IF(AA187&gt;Variables!$B$19,CEILING((AA187-Variables!$B$19)/Variables!$B$21,1)*Variables!$B$20,0))</f>
        <v/>
      </c>
      <c r="J187" s="11">
        <f>IF(AA187&lt;=Variables!$B$18,MIN(Variables!$B$9-Variables!$B$8+I187,Variables!$B$26),0)</f>
        <v/>
      </c>
      <c r="K187" s="11">
        <f>IF(AA187&lt;=Variables!$B$18,Variables!$B$27,0)</f>
        <v/>
      </c>
      <c r="L187" s="11">
        <f>IF(AA187&gt;Variables!$B$18,G187+H187,Variables!$B$26-J187)</f>
        <v/>
      </c>
      <c r="M187" s="11">
        <f>IF(AA187&gt;Variables!$B$18,Variables!$B$2-G187-H187,J187+K187)</f>
        <v/>
      </c>
      <c r="N187" s="11">
        <f>Variables!$B$9-AC187</f>
        <v/>
      </c>
      <c r="O187" s="12">
        <f>F187+N187</f>
        <v/>
      </c>
      <c r="P187" s="12">
        <f>MAX(0,C187+N187)</f>
        <v/>
      </c>
      <c r="Q187" s="12">
        <f>D187+MIN(0,C187+N187)</f>
        <v/>
      </c>
      <c r="R187">
        <f>IF(AA187&gt;Variables!$B$18,"Self-funder",IF(AA187&gt;Variables!$B$19,"Tariff band - council contributing","Council pays standard rate"))</f>
        <v/>
      </c>
      <c r="S187" s="12">
        <f>Variables!$B$18</f>
        <v/>
      </c>
      <c r="T187" s="12">
        <f>Variables!$B$19</f>
        <v/>
      </c>
      <c r="U187">
        <f>AA187&lt;=Variables!$B$18</f>
        <v/>
      </c>
      <c r="V187">
        <f>AA187&lt;=Variables!$B$19</f>
        <v/>
      </c>
      <c r="W187">
        <f>P187&lt;=0</f>
        <v/>
      </c>
      <c r="X187" s="12">
        <f>Variables!$B$28</f>
        <v/>
      </c>
      <c r="Y187">
        <f>AB187&lt;=Variables!$B$28</f>
        <v/>
      </c>
      <c r="Z187">
        <f>AB187&lt;=Variables!$B$18</f>
        <v/>
      </c>
      <c r="AA187" s="12">
        <f>AB186</f>
        <v/>
      </c>
      <c r="AB187" s="12">
        <f>AA187+Variables!$B$9-M187</f>
        <v/>
      </c>
      <c r="AC187" s="11">
        <f>IF(MOD(A187-1,Variables!$B$30)=0,Variables!$B$30*M187,0)</f>
        <v/>
      </c>
      <c r="AD187" s="12">
        <f>IF(A187=MATCH(TRUE,$Y$2:$Y$261,0),MAX($AB$2:$AB$261),IF(A187=MATCH(TRUE,$Y$2:$Y$261,0)-1,0,NA()))</f>
        <v/>
      </c>
      <c r="AE187" s="12">
        <f>IF(A187=MATCH(TRUE,$Z$2:$Z$261,0),MAX($AB$2:$AB$261),IF(A187=MATCH(TRUE,$Z$2:$Z$261,0)-1,0,NA()))</f>
        <v/>
      </c>
    </row>
    <row r="188">
      <c r="A188" t="n">
        <v>187</v>
      </c>
      <c r="B188" s="14">
        <f>Variables!$B$24+(A188-1)*7</f>
        <v/>
      </c>
      <c r="C188" s="12">
        <f>P187</f>
        <v/>
      </c>
      <c r="D188" s="12">
        <f>Q187</f>
        <v/>
      </c>
      <c r="E188" s="12">
        <f>C188+IF(A188&gt;Variables!$B$25,D188,0)</f>
        <v/>
      </c>
      <c r="F188" s="12">
        <f>C188+D188</f>
        <v/>
      </c>
      <c r="G188" s="11">
        <f>IF(A188&gt;Variables!$B$22,Variables!$B$12,0)</f>
        <v/>
      </c>
      <c r="H188" s="11">
        <f>IF(AND(A188&gt;Variables!$B$22,Variables!$B$14="Yes"),Variables!$B$13,0)</f>
        <v/>
      </c>
      <c r="I188" s="11">
        <f>IF(AA188&gt;Variables!$B$18,0,IF(AA188&gt;Variables!$B$19,CEILING((AA188-Variables!$B$19)/Variables!$B$21,1)*Variables!$B$20,0))</f>
        <v/>
      </c>
      <c r="J188" s="11">
        <f>IF(AA188&lt;=Variables!$B$18,MIN(Variables!$B$9-Variables!$B$8+I188,Variables!$B$26),0)</f>
        <v/>
      </c>
      <c r="K188" s="11">
        <f>IF(AA188&lt;=Variables!$B$18,Variables!$B$27,0)</f>
        <v/>
      </c>
      <c r="L188" s="11">
        <f>IF(AA188&gt;Variables!$B$18,G188+H188,Variables!$B$26-J188)</f>
        <v/>
      </c>
      <c r="M188" s="11">
        <f>IF(AA188&gt;Variables!$B$18,Variables!$B$2-G188-H188,J188+K188)</f>
        <v/>
      </c>
      <c r="N188" s="11">
        <f>Variables!$B$9-AC188</f>
        <v/>
      </c>
      <c r="O188" s="12">
        <f>F188+N188</f>
        <v/>
      </c>
      <c r="P188" s="12">
        <f>MAX(0,C188+N188)</f>
        <v/>
      </c>
      <c r="Q188" s="12">
        <f>D188+MIN(0,C188+N188)</f>
        <v/>
      </c>
      <c r="R188">
        <f>IF(AA188&gt;Variables!$B$18,"Self-funder",IF(AA188&gt;Variables!$B$19,"Tariff band - council contributing","Council pays standard rate"))</f>
        <v/>
      </c>
      <c r="S188" s="12">
        <f>Variables!$B$18</f>
        <v/>
      </c>
      <c r="T188" s="12">
        <f>Variables!$B$19</f>
        <v/>
      </c>
      <c r="U188">
        <f>AA188&lt;=Variables!$B$18</f>
        <v/>
      </c>
      <c r="V188">
        <f>AA188&lt;=Variables!$B$19</f>
        <v/>
      </c>
      <c r="W188">
        <f>P188&lt;=0</f>
        <v/>
      </c>
      <c r="X188" s="12">
        <f>Variables!$B$28</f>
        <v/>
      </c>
      <c r="Y188">
        <f>AB188&lt;=Variables!$B$28</f>
        <v/>
      </c>
      <c r="Z188">
        <f>AB188&lt;=Variables!$B$18</f>
        <v/>
      </c>
      <c r="AA188" s="12">
        <f>AB187</f>
        <v/>
      </c>
      <c r="AB188" s="12">
        <f>AA188+Variables!$B$9-M188</f>
        <v/>
      </c>
      <c r="AC188" s="11">
        <f>IF(MOD(A188-1,Variables!$B$30)=0,Variables!$B$30*M188,0)</f>
        <v/>
      </c>
      <c r="AD188" s="12">
        <f>IF(A188=MATCH(TRUE,$Y$2:$Y$261,0),MAX($AB$2:$AB$261),IF(A188=MATCH(TRUE,$Y$2:$Y$261,0)-1,0,NA()))</f>
        <v/>
      </c>
      <c r="AE188" s="12">
        <f>IF(A188=MATCH(TRUE,$Z$2:$Z$261,0),MAX($AB$2:$AB$261),IF(A188=MATCH(TRUE,$Z$2:$Z$261,0)-1,0,NA()))</f>
        <v/>
      </c>
    </row>
    <row r="189">
      <c r="A189" t="n">
        <v>188</v>
      </c>
      <c r="B189" s="14">
        <f>Variables!$B$24+(A189-1)*7</f>
        <v/>
      </c>
      <c r="C189" s="12">
        <f>P188</f>
        <v/>
      </c>
      <c r="D189" s="12">
        <f>Q188</f>
        <v/>
      </c>
      <c r="E189" s="12">
        <f>C189+IF(A189&gt;Variables!$B$25,D189,0)</f>
        <v/>
      </c>
      <c r="F189" s="12">
        <f>C189+D189</f>
        <v/>
      </c>
      <c r="G189" s="11">
        <f>IF(A189&gt;Variables!$B$22,Variables!$B$12,0)</f>
        <v/>
      </c>
      <c r="H189" s="11">
        <f>IF(AND(A189&gt;Variables!$B$22,Variables!$B$14="Yes"),Variables!$B$13,0)</f>
        <v/>
      </c>
      <c r="I189" s="11">
        <f>IF(AA189&gt;Variables!$B$18,0,IF(AA189&gt;Variables!$B$19,CEILING((AA189-Variables!$B$19)/Variables!$B$21,1)*Variables!$B$20,0))</f>
        <v/>
      </c>
      <c r="J189" s="11">
        <f>IF(AA189&lt;=Variables!$B$18,MIN(Variables!$B$9-Variables!$B$8+I189,Variables!$B$26),0)</f>
        <v/>
      </c>
      <c r="K189" s="11">
        <f>IF(AA189&lt;=Variables!$B$18,Variables!$B$27,0)</f>
        <v/>
      </c>
      <c r="L189" s="11">
        <f>IF(AA189&gt;Variables!$B$18,G189+H189,Variables!$B$26-J189)</f>
        <v/>
      </c>
      <c r="M189" s="11">
        <f>IF(AA189&gt;Variables!$B$18,Variables!$B$2-G189-H189,J189+K189)</f>
        <v/>
      </c>
      <c r="N189" s="11">
        <f>Variables!$B$9-AC189</f>
        <v/>
      </c>
      <c r="O189" s="12">
        <f>F189+N189</f>
        <v/>
      </c>
      <c r="P189" s="12">
        <f>MAX(0,C189+N189)</f>
        <v/>
      </c>
      <c r="Q189" s="12">
        <f>D189+MIN(0,C189+N189)</f>
        <v/>
      </c>
      <c r="R189">
        <f>IF(AA189&gt;Variables!$B$18,"Self-funder",IF(AA189&gt;Variables!$B$19,"Tariff band - council contributing","Council pays standard rate"))</f>
        <v/>
      </c>
      <c r="S189" s="12">
        <f>Variables!$B$18</f>
        <v/>
      </c>
      <c r="T189" s="12">
        <f>Variables!$B$19</f>
        <v/>
      </c>
      <c r="U189">
        <f>AA189&lt;=Variables!$B$18</f>
        <v/>
      </c>
      <c r="V189">
        <f>AA189&lt;=Variables!$B$19</f>
        <v/>
      </c>
      <c r="W189">
        <f>P189&lt;=0</f>
        <v/>
      </c>
      <c r="X189" s="12">
        <f>Variables!$B$28</f>
        <v/>
      </c>
      <c r="Y189">
        <f>AB189&lt;=Variables!$B$28</f>
        <v/>
      </c>
      <c r="Z189">
        <f>AB189&lt;=Variables!$B$18</f>
        <v/>
      </c>
      <c r="AA189" s="12">
        <f>AB188</f>
        <v/>
      </c>
      <c r="AB189" s="12">
        <f>AA189+Variables!$B$9-M189</f>
        <v/>
      </c>
      <c r="AC189" s="11">
        <f>IF(MOD(A189-1,Variables!$B$30)=0,Variables!$B$30*M189,0)</f>
        <v/>
      </c>
      <c r="AD189" s="12">
        <f>IF(A189=MATCH(TRUE,$Y$2:$Y$261,0),MAX($AB$2:$AB$261),IF(A189=MATCH(TRUE,$Y$2:$Y$261,0)-1,0,NA()))</f>
        <v/>
      </c>
      <c r="AE189" s="12">
        <f>IF(A189=MATCH(TRUE,$Z$2:$Z$261,0),MAX($AB$2:$AB$261),IF(A189=MATCH(TRUE,$Z$2:$Z$261,0)-1,0,NA()))</f>
        <v/>
      </c>
    </row>
    <row r="190">
      <c r="A190" t="n">
        <v>189</v>
      </c>
      <c r="B190" s="14">
        <f>Variables!$B$24+(A190-1)*7</f>
        <v/>
      </c>
      <c r="C190" s="12">
        <f>P189</f>
        <v/>
      </c>
      <c r="D190" s="12">
        <f>Q189</f>
        <v/>
      </c>
      <c r="E190" s="12">
        <f>C190+IF(A190&gt;Variables!$B$25,D190,0)</f>
        <v/>
      </c>
      <c r="F190" s="12">
        <f>C190+D190</f>
        <v/>
      </c>
      <c r="G190" s="11">
        <f>IF(A190&gt;Variables!$B$22,Variables!$B$12,0)</f>
        <v/>
      </c>
      <c r="H190" s="11">
        <f>IF(AND(A190&gt;Variables!$B$22,Variables!$B$14="Yes"),Variables!$B$13,0)</f>
        <v/>
      </c>
      <c r="I190" s="11">
        <f>IF(AA190&gt;Variables!$B$18,0,IF(AA190&gt;Variables!$B$19,CEILING((AA190-Variables!$B$19)/Variables!$B$21,1)*Variables!$B$20,0))</f>
        <v/>
      </c>
      <c r="J190" s="11">
        <f>IF(AA190&lt;=Variables!$B$18,MIN(Variables!$B$9-Variables!$B$8+I190,Variables!$B$26),0)</f>
        <v/>
      </c>
      <c r="K190" s="11">
        <f>IF(AA190&lt;=Variables!$B$18,Variables!$B$27,0)</f>
        <v/>
      </c>
      <c r="L190" s="11">
        <f>IF(AA190&gt;Variables!$B$18,G190+H190,Variables!$B$26-J190)</f>
        <v/>
      </c>
      <c r="M190" s="11">
        <f>IF(AA190&gt;Variables!$B$18,Variables!$B$2-G190-H190,J190+K190)</f>
        <v/>
      </c>
      <c r="N190" s="11">
        <f>Variables!$B$9-AC190</f>
        <v/>
      </c>
      <c r="O190" s="12">
        <f>F190+N190</f>
        <v/>
      </c>
      <c r="P190" s="12">
        <f>MAX(0,C190+N190)</f>
        <v/>
      </c>
      <c r="Q190" s="12">
        <f>D190+MIN(0,C190+N190)</f>
        <v/>
      </c>
      <c r="R190">
        <f>IF(AA190&gt;Variables!$B$18,"Self-funder",IF(AA190&gt;Variables!$B$19,"Tariff band - council contributing","Council pays standard rate"))</f>
        <v/>
      </c>
      <c r="S190" s="12">
        <f>Variables!$B$18</f>
        <v/>
      </c>
      <c r="T190" s="12">
        <f>Variables!$B$19</f>
        <v/>
      </c>
      <c r="U190">
        <f>AA190&lt;=Variables!$B$18</f>
        <v/>
      </c>
      <c r="V190">
        <f>AA190&lt;=Variables!$B$19</f>
        <v/>
      </c>
      <c r="W190">
        <f>P190&lt;=0</f>
        <v/>
      </c>
      <c r="X190" s="12">
        <f>Variables!$B$28</f>
        <v/>
      </c>
      <c r="Y190">
        <f>AB190&lt;=Variables!$B$28</f>
        <v/>
      </c>
      <c r="Z190">
        <f>AB190&lt;=Variables!$B$18</f>
        <v/>
      </c>
      <c r="AA190" s="12">
        <f>AB189</f>
        <v/>
      </c>
      <c r="AB190" s="12">
        <f>AA190+Variables!$B$9-M190</f>
        <v/>
      </c>
      <c r="AC190" s="11">
        <f>IF(MOD(A190-1,Variables!$B$30)=0,Variables!$B$30*M190,0)</f>
        <v/>
      </c>
      <c r="AD190" s="12">
        <f>IF(A190=MATCH(TRUE,$Y$2:$Y$261,0),MAX($AB$2:$AB$261),IF(A190=MATCH(TRUE,$Y$2:$Y$261,0)-1,0,NA()))</f>
        <v/>
      </c>
      <c r="AE190" s="12">
        <f>IF(A190=MATCH(TRUE,$Z$2:$Z$261,0),MAX($AB$2:$AB$261),IF(A190=MATCH(TRUE,$Z$2:$Z$261,0)-1,0,NA()))</f>
        <v/>
      </c>
    </row>
    <row r="191">
      <c r="A191" t="n">
        <v>190</v>
      </c>
      <c r="B191" s="14">
        <f>Variables!$B$24+(A191-1)*7</f>
        <v/>
      </c>
      <c r="C191" s="12">
        <f>P190</f>
        <v/>
      </c>
      <c r="D191" s="12">
        <f>Q190</f>
        <v/>
      </c>
      <c r="E191" s="12">
        <f>C191+IF(A191&gt;Variables!$B$25,D191,0)</f>
        <v/>
      </c>
      <c r="F191" s="12">
        <f>C191+D191</f>
        <v/>
      </c>
      <c r="G191" s="11">
        <f>IF(A191&gt;Variables!$B$22,Variables!$B$12,0)</f>
        <v/>
      </c>
      <c r="H191" s="11">
        <f>IF(AND(A191&gt;Variables!$B$22,Variables!$B$14="Yes"),Variables!$B$13,0)</f>
        <v/>
      </c>
      <c r="I191" s="11">
        <f>IF(AA191&gt;Variables!$B$18,0,IF(AA191&gt;Variables!$B$19,CEILING((AA191-Variables!$B$19)/Variables!$B$21,1)*Variables!$B$20,0))</f>
        <v/>
      </c>
      <c r="J191" s="11">
        <f>IF(AA191&lt;=Variables!$B$18,MIN(Variables!$B$9-Variables!$B$8+I191,Variables!$B$26),0)</f>
        <v/>
      </c>
      <c r="K191" s="11">
        <f>IF(AA191&lt;=Variables!$B$18,Variables!$B$27,0)</f>
        <v/>
      </c>
      <c r="L191" s="11">
        <f>IF(AA191&gt;Variables!$B$18,G191+H191,Variables!$B$26-J191)</f>
        <v/>
      </c>
      <c r="M191" s="11">
        <f>IF(AA191&gt;Variables!$B$18,Variables!$B$2-G191-H191,J191+K191)</f>
        <v/>
      </c>
      <c r="N191" s="11">
        <f>Variables!$B$9-AC191</f>
        <v/>
      </c>
      <c r="O191" s="12">
        <f>F191+N191</f>
        <v/>
      </c>
      <c r="P191" s="12">
        <f>MAX(0,C191+N191)</f>
        <v/>
      </c>
      <c r="Q191" s="12">
        <f>D191+MIN(0,C191+N191)</f>
        <v/>
      </c>
      <c r="R191">
        <f>IF(AA191&gt;Variables!$B$18,"Self-funder",IF(AA191&gt;Variables!$B$19,"Tariff band - council contributing","Council pays standard rate"))</f>
        <v/>
      </c>
      <c r="S191" s="12">
        <f>Variables!$B$18</f>
        <v/>
      </c>
      <c r="T191" s="12">
        <f>Variables!$B$19</f>
        <v/>
      </c>
      <c r="U191">
        <f>AA191&lt;=Variables!$B$18</f>
        <v/>
      </c>
      <c r="V191">
        <f>AA191&lt;=Variables!$B$19</f>
        <v/>
      </c>
      <c r="W191">
        <f>P191&lt;=0</f>
        <v/>
      </c>
      <c r="X191" s="12">
        <f>Variables!$B$28</f>
        <v/>
      </c>
      <c r="Y191">
        <f>AB191&lt;=Variables!$B$28</f>
        <v/>
      </c>
      <c r="Z191">
        <f>AB191&lt;=Variables!$B$18</f>
        <v/>
      </c>
      <c r="AA191" s="12">
        <f>AB190</f>
        <v/>
      </c>
      <c r="AB191" s="12">
        <f>AA191+Variables!$B$9-M191</f>
        <v/>
      </c>
      <c r="AC191" s="11">
        <f>IF(MOD(A191-1,Variables!$B$30)=0,Variables!$B$30*M191,0)</f>
        <v/>
      </c>
      <c r="AD191" s="12">
        <f>IF(A191=MATCH(TRUE,$Y$2:$Y$261,0),MAX($AB$2:$AB$261),IF(A191=MATCH(TRUE,$Y$2:$Y$261,0)-1,0,NA()))</f>
        <v/>
      </c>
      <c r="AE191" s="12">
        <f>IF(A191=MATCH(TRUE,$Z$2:$Z$261,0),MAX($AB$2:$AB$261),IF(A191=MATCH(TRUE,$Z$2:$Z$261,0)-1,0,NA()))</f>
        <v/>
      </c>
    </row>
    <row r="192">
      <c r="A192" t="n">
        <v>191</v>
      </c>
      <c r="B192" s="14">
        <f>Variables!$B$24+(A192-1)*7</f>
        <v/>
      </c>
      <c r="C192" s="12">
        <f>P191</f>
        <v/>
      </c>
      <c r="D192" s="12">
        <f>Q191</f>
        <v/>
      </c>
      <c r="E192" s="12">
        <f>C192+IF(A192&gt;Variables!$B$25,D192,0)</f>
        <v/>
      </c>
      <c r="F192" s="12">
        <f>C192+D192</f>
        <v/>
      </c>
      <c r="G192" s="11">
        <f>IF(A192&gt;Variables!$B$22,Variables!$B$12,0)</f>
        <v/>
      </c>
      <c r="H192" s="11">
        <f>IF(AND(A192&gt;Variables!$B$22,Variables!$B$14="Yes"),Variables!$B$13,0)</f>
        <v/>
      </c>
      <c r="I192" s="11">
        <f>IF(AA192&gt;Variables!$B$18,0,IF(AA192&gt;Variables!$B$19,CEILING((AA192-Variables!$B$19)/Variables!$B$21,1)*Variables!$B$20,0))</f>
        <v/>
      </c>
      <c r="J192" s="11">
        <f>IF(AA192&lt;=Variables!$B$18,MIN(Variables!$B$9-Variables!$B$8+I192,Variables!$B$26),0)</f>
        <v/>
      </c>
      <c r="K192" s="11">
        <f>IF(AA192&lt;=Variables!$B$18,Variables!$B$27,0)</f>
        <v/>
      </c>
      <c r="L192" s="11">
        <f>IF(AA192&gt;Variables!$B$18,G192+H192,Variables!$B$26-J192)</f>
        <v/>
      </c>
      <c r="M192" s="11">
        <f>IF(AA192&gt;Variables!$B$18,Variables!$B$2-G192-H192,J192+K192)</f>
        <v/>
      </c>
      <c r="N192" s="11">
        <f>Variables!$B$9-AC192</f>
        <v/>
      </c>
      <c r="O192" s="12">
        <f>F192+N192</f>
        <v/>
      </c>
      <c r="P192" s="12">
        <f>MAX(0,C192+N192)</f>
        <v/>
      </c>
      <c r="Q192" s="12">
        <f>D192+MIN(0,C192+N192)</f>
        <v/>
      </c>
      <c r="R192">
        <f>IF(AA192&gt;Variables!$B$18,"Self-funder",IF(AA192&gt;Variables!$B$19,"Tariff band - council contributing","Council pays standard rate"))</f>
        <v/>
      </c>
      <c r="S192" s="12">
        <f>Variables!$B$18</f>
        <v/>
      </c>
      <c r="T192" s="12">
        <f>Variables!$B$19</f>
        <v/>
      </c>
      <c r="U192">
        <f>AA192&lt;=Variables!$B$18</f>
        <v/>
      </c>
      <c r="V192">
        <f>AA192&lt;=Variables!$B$19</f>
        <v/>
      </c>
      <c r="W192">
        <f>P192&lt;=0</f>
        <v/>
      </c>
      <c r="X192" s="12">
        <f>Variables!$B$28</f>
        <v/>
      </c>
      <c r="Y192">
        <f>AB192&lt;=Variables!$B$28</f>
        <v/>
      </c>
      <c r="Z192">
        <f>AB192&lt;=Variables!$B$18</f>
        <v/>
      </c>
      <c r="AA192" s="12">
        <f>AB191</f>
        <v/>
      </c>
      <c r="AB192" s="12">
        <f>AA192+Variables!$B$9-M192</f>
        <v/>
      </c>
      <c r="AC192" s="11">
        <f>IF(MOD(A192-1,Variables!$B$30)=0,Variables!$B$30*M192,0)</f>
        <v/>
      </c>
      <c r="AD192" s="12">
        <f>IF(A192=MATCH(TRUE,$Y$2:$Y$261,0),MAX($AB$2:$AB$261),IF(A192=MATCH(TRUE,$Y$2:$Y$261,0)-1,0,NA()))</f>
        <v/>
      </c>
      <c r="AE192" s="12">
        <f>IF(A192=MATCH(TRUE,$Z$2:$Z$261,0),MAX($AB$2:$AB$261),IF(A192=MATCH(TRUE,$Z$2:$Z$261,0)-1,0,NA()))</f>
        <v/>
      </c>
    </row>
    <row r="193">
      <c r="A193" t="n">
        <v>192</v>
      </c>
      <c r="B193" s="14">
        <f>Variables!$B$24+(A193-1)*7</f>
        <v/>
      </c>
      <c r="C193" s="12">
        <f>P192</f>
        <v/>
      </c>
      <c r="D193" s="12">
        <f>Q192</f>
        <v/>
      </c>
      <c r="E193" s="12">
        <f>C193+IF(A193&gt;Variables!$B$25,D193,0)</f>
        <v/>
      </c>
      <c r="F193" s="12">
        <f>C193+D193</f>
        <v/>
      </c>
      <c r="G193" s="11">
        <f>IF(A193&gt;Variables!$B$22,Variables!$B$12,0)</f>
        <v/>
      </c>
      <c r="H193" s="11">
        <f>IF(AND(A193&gt;Variables!$B$22,Variables!$B$14="Yes"),Variables!$B$13,0)</f>
        <v/>
      </c>
      <c r="I193" s="11">
        <f>IF(AA193&gt;Variables!$B$18,0,IF(AA193&gt;Variables!$B$19,CEILING((AA193-Variables!$B$19)/Variables!$B$21,1)*Variables!$B$20,0))</f>
        <v/>
      </c>
      <c r="J193" s="11">
        <f>IF(AA193&lt;=Variables!$B$18,MIN(Variables!$B$9-Variables!$B$8+I193,Variables!$B$26),0)</f>
        <v/>
      </c>
      <c r="K193" s="11">
        <f>IF(AA193&lt;=Variables!$B$18,Variables!$B$27,0)</f>
        <v/>
      </c>
      <c r="L193" s="11">
        <f>IF(AA193&gt;Variables!$B$18,G193+H193,Variables!$B$26-J193)</f>
        <v/>
      </c>
      <c r="M193" s="11">
        <f>IF(AA193&gt;Variables!$B$18,Variables!$B$2-G193-H193,J193+K193)</f>
        <v/>
      </c>
      <c r="N193" s="11">
        <f>Variables!$B$9-AC193</f>
        <v/>
      </c>
      <c r="O193" s="12">
        <f>F193+N193</f>
        <v/>
      </c>
      <c r="P193" s="12">
        <f>MAX(0,C193+N193)</f>
        <v/>
      </c>
      <c r="Q193" s="12">
        <f>D193+MIN(0,C193+N193)</f>
        <v/>
      </c>
      <c r="R193">
        <f>IF(AA193&gt;Variables!$B$18,"Self-funder",IF(AA193&gt;Variables!$B$19,"Tariff band - council contributing","Council pays standard rate"))</f>
        <v/>
      </c>
      <c r="S193" s="12">
        <f>Variables!$B$18</f>
        <v/>
      </c>
      <c r="T193" s="12">
        <f>Variables!$B$19</f>
        <v/>
      </c>
      <c r="U193">
        <f>AA193&lt;=Variables!$B$18</f>
        <v/>
      </c>
      <c r="V193">
        <f>AA193&lt;=Variables!$B$19</f>
        <v/>
      </c>
      <c r="W193">
        <f>P193&lt;=0</f>
        <v/>
      </c>
      <c r="X193" s="12">
        <f>Variables!$B$28</f>
        <v/>
      </c>
      <c r="Y193">
        <f>AB193&lt;=Variables!$B$28</f>
        <v/>
      </c>
      <c r="Z193">
        <f>AB193&lt;=Variables!$B$18</f>
        <v/>
      </c>
      <c r="AA193" s="12">
        <f>AB192</f>
        <v/>
      </c>
      <c r="AB193" s="12">
        <f>AA193+Variables!$B$9-M193</f>
        <v/>
      </c>
      <c r="AC193" s="11">
        <f>IF(MOD(A193-1,Variables!$B$30)=0,Variables!$B$30*M193,0)</f>
        <v/>
      </c>
      <c r="AD193" s="12">
        <f>IF(A193=MATCH(TRUE,$Y$2:$Y$261,0),MAX($AB$2:$AB$261),IF(A193=MATCH(TRUE,$Y$2:$Y$261,0)-1,0,NA()))</f>
        <v/>
      </c>
      <c r="AE193" s="12">
        <f>IF(A193=MATCH(TRUE,$Z$2:$Z$261,0),MAX($AB$2:$AB$261),IF(A193=MATCH(TRUE,$Z$2:$Z$261,0)-1,0,NA()))</f>
        <v/>
      </c>
    </row>
    <row r="194">
      <c r="A194" t="n">
        <v>193</v>
      </c>
      <c r="B194" s="14">
        <f>Variables!$B$24+(A194-1)*7</f>
        <v/>
      </c>
      <c r="C194" s="12">
        <f>P193</f>
        <v/>
      </c>
      <c r="D194" s="12">
        <f>Q193</f>
        <v/>
      </c>
      <c r="E194" s="12">
        <f>C194+IF(A194&gt;Variables!$B$25,D194,0)</f>
        <v/>
      </c>
      <c r="F194" s="12">
        <f>C194+D194</f>
        <v/>
      </c>
      <c r="G194" s="11">
        <f>IF(A194&gt;Variables!$B$22,Variables!$B$12,0)</f>
        <v/>
      </c>
      <c r="H194" s="11">
        <f>IF(AND(A194&gt;Variables!$B$22,Variables!$B$14="Yes"),Variables!$B$13,0)</f>
        <v/>
      </c>
      <c r="I194" s="11">
        <f>IF(AA194&gt;Variables!$B$18,0,IF(AA194&gt;Variables!$B$19,CEILING((AA194-Variables!$B$19)/Variables!$B$21,1)*Variables!$B$20,0))</f>
        <v/>
      </c>
      <c r="J194" s="11">
        <f>IF(AA194&lt;=Variables!$B$18,MIN(Variables!$B$9-Variables!$B$8+I194,Variables!$B$26),0)</f>
        <v/>
      </c>
      <c r="K194" s="11">
        <f>IF(AA194&lt;=Variables!$B$18,Variables!$B$27,0)</f>
        <v/>
      </c>
      <c r="L194" s="11">
        <f>IF(AA194&gt;Variables!$B$18,G194+H194,Variables!$B$26-J194)</f>
        <v/>
      </c>
      <c r="M194" s="11">
        <f>IF(AA194&gt;Variables!$B$18,Variables!$B$2-G194-H194,J194+K194)</f>
        <v/>
      </c>
      <c r="N194" s="11">
        <f>Variables!$B$9-AC194</f>
        <v/>
      </c>
      <c r="O194" s="12">
        <f>F194+N194</f>
        <v/>
      </c>
      <c r="P194" s="12">
        <f>MAX(0,C194+N194)</f>
        <v/>
      </c>
      <c r="Q194" s="12">
        <f>D194+MIN(0,C194+N194)</f>
        <v/>
      </c>
      <c r="R194">
        <f>IF(AA194&gt;Variables!$B$18,"Self-funder",IF(AA194&gt;Variables!$B$19,"Tariff band - council contributing","Council pays standard rate"))</f>
        <v/>
      </c>
      <c r="S194" s="12">
        <f>Variables!$B$18</f>
        <v/>
      </c>
      <c r="T194" s="12">
        <f>Variables!$B$19</f>
        <v/>
      </c>
      <c r="U194">
        <f>AA194&lt;=Variables!$B$18</f>
        <v/>
      </c>
      <c r="V194">
        <f>AA194&lt;=Variables!$B$19</f>
        <v/>
      </c>
      <c r="W194">
        <f>P194&lt;=0</f>
        <v/>
      </c>
      <c r="X194" s="12">
        <f>Variables!$B$28</f>
        <v/>
      </c>
      <c r="Y194">
        <f>AB194&lt;=Variables!$B$28</f>
        <v/>
      </c>
      <c r="Z194">
        <f>AB194&lt;=Variables!$B$18</f>
        <v/>
      </c>
      <c r="AA194" s="12">
        <f>AB193</f>
        <v/>
      </c>
      <c r="AB194" s="12">
        <f>AA194+Variables!$B$9-M194</f>
        <v/>
      </c>
      <c r="AC194" s="11">
        <f>IF(MOD(A194-1,Variables!$B$30)=0,Variables!$B$30*M194,0)</f>
        <v/>
      </c>
      <c r="AD194" s="12">
        <f>IF(A194=MATCH(TRUE,$Y$2:$Y$261,0),MAX($AB$2:$AB$261),IF(A194=MATCH(TRUE,$Y$2:$Y$261,0)-1,0,NA()))</f>
        <v/>
      </c>
      <c r="AE194" s="12">
        <f>IF(A194=MATCH(TRUE,$Z$2:$Z$261,0),MAX($AB$2:$AB$261),IF(A194=MATCH(TRUE,$Z$2:$Z$261,0)-1,0,NA()))</f>
        <v/>
      </c>
    </row>
    <row r="195">
      <c r="A195" t="n">
        <v>194</v>
      </c>
      <c r="B195" s="14">
        <f>Variables!$B$24+(A195-1)*7</f>
        <v/>
      </c>
      <c r="C195" s="12">
        <f>P194</f>
        <v/>
      </c>
      <c r="D195" s="12">
        <f>Q194</f>
        <v/>
      </c>
      <c r="E195" s="12">
        <f>C195+IF(A195&gt;Variables!$B$25,D195,0)</f>
        <v/>
      </c>
      <c r="F195" s="12">
        <f>C195+D195</f>
        <v/>
      </c>
      <c r="G195" s="11">
        <f>IF(A195&gt;Variables!$B$22,Variables!$B$12,0)</f>
        <v/>
      </c>
      <c r="H195" s="11">
        <f>IF(AND(A195&gt;Variables!$B$22,Variables!$B$14="Yes"),Variables!$B$13,0)</f>
        <v/>
      </c>
      <c r="I195" s="11">
        <f>IF(AA195&gt;Variables!$B$18,0,IF(AA195&gt;Variables!$B$19,CEILING((AA195-Variables!$B$19)/Variables!$B$21,1)*Variables!$B$20,0))</f>
        <v/>
      </c>
      <c r="J195" s="11">
        <f>IF(AA195&lt;=Variables!$B$18,MIN(Variables!$B$9-Variables!$B$8+I195,Variables!$B$26),0)</f>
        <v/>
      </c>
      <c r="K195" s="11">
        <f>IF(AA195&lt;=Variables!$B$18,Variables!$B$27,0)</f>
        <v/>
      </c>
      <c r="L195" s="11">
        <f>IF(AA195&gt;Variables!$B$18,G195+H195,Variables!$B$26-J195)</f>
        <v/>
      </c>
      <c r="M195" s="11">
        <f>IF(AA195&gt;Variables!$B$18,Variables!$B$2-G195-H195,J195+K195)</f>
        <v/>
      </c>
      <c r="N195" s="11">
        <f>Variables!$B$9-AC195</f>
        <v/>
      </c>
      <c r="O195" s="12">
        <f>F195+N195</f>
        <v/>
      </c>
      <c r="P195" s="12">
        <f>MAX(0,C195+N195)</f>
        <v/>
      </c>
      <c r="Q195" s="12">
        <f>D195+MIN(0,C195+N195)</f>
        <v/>
      </c>
      <c r="R195">
        <f>IF(AA195&gt;Variables!$B$18,"Self-funder",IF(AA195&gt;Variables!$B$19,"Tariff band - council contributing","Council pays standard rate"))</f>
        <v/>
      </c>
      <c r="S195" s="12">
        <f>Variables!$B$18</f>
        <v/>
      </c>
      <c r="T195" s="12">
        <f>Variables!$B$19</f>
        <v/>
      </c>
      <c r="U195">
        <f>AA195&lt;=Variables!$B$18</f>
        <v/>
      </c>
      <c r="V195">
        <f>AA195&lt;=Variables!$B$19</f>
        <v/>
      </c>
      <c r="W195">
        <f>P195&lt;=0</f>
        <v/>
      </c>
      <c r="X195" s="12">
        <f>Variables!$B$28</f>
        <v/>
      </c>
      <c r="Y195">
        <f>AB195&lt;=Variables!$B$28</f>
        <v/>
      </c>
      <c r="Z195">
        <f>AB195&lt;=Variables!$B$18</f>
        <v/>
      </c>
      <c r="AA195" s="12">
        <f>AB194</f>
        <v/>
      </c>
      <c r="AB195" s="12">
        <f>AA195+Variables!$B$9-M195</f>
        <v/>
      </c>
      <c r="AC195" s="11">
        <f>IF(MOD(A195-1,Variables!$B$30)=0,Variables!$B$30*M195,0)</f>
        <v/>
      </c>
      <c r="AD195" s="12">
        <f>IF(A195=MATCH(TRUE,$Y$2:$Y$261,0),MAX($AB$2:$AB$261),IF(A195=MATCH(TRUE,$Y$2:$Y$261,0)-1,0,NA()))</f>
        <v/>
      </c>
      <c r="AE195" s="12">
        <f>IF(A195=MATCH(TRUE,$Z$2:$Z$261,0),MAX($AB$2:$AB$261),IF(A195=MATCH(TRUE,$Z$2:$Z$261,0)-1,0,NA()))</f>
        <v/>
      </c>
    </row>
    <row r="196">
      <c r="A196" t="n">
        <v>195</v>
      </c>
      <c r="B196" s="14">
        <f>Variables!$B$24+(A196-1)*7</f>
        <v/>
      </c>
      <c r="C196" s="12">
        <f>P195</f>
        <v/>
      </c>
      <c r="D196" s="12">
        <f>Q195</f>
        <v/>
      </c>
      <c r="E196" s="12">
        <f>C196+IF(A196&gt;Variables!$B$25,D196,0)</f>
        <v/>
      </c>
      <c r="F196" s="12">
        <f>C196+D196</f>
        <v/>
      </c>
      <c r="G196" s="11">
        <f>IF(A196&gt;Variables!$B$22,Variables!$B$12,0)</f>
        <v/>
      </c>
      <c r="H196" s="11">
        <f>IF(AND(A196&gt;Variables!$B$22,Variables!$B$14="Yes"),Variables!$B$13,0)</f>
        <v/>
      </c>
      <c r="I196" s="11">
        <f>IF(AA196&gt;Variables!$B$18,0,IF(AA196&gt;Variables!$B$19,CEILING((AA196-Variables!$B$19)/Variables!$B$21,1)*Variables!$B$20,0))</f>
        <v/>
      </c>
      <c r="J196" s="11">
        <f>IF(AA196&lt;=Variables!$B$18,MIN(Variables!$B$9-Variables!$B$8+I196,Variables!$B$26),0)</f>
        <v/>
      </c>
      <c r="K196" s="11">
        <f>IF(AA196&lt;=Variables!$B$18,Variables!$B$27,0)</f>
        <v/>
      </c>
      <c r="L196" s="11">
        <f>IF(AA196&gt;Variables!$B$18,G196+H196,Variables!$B$26-J196)</f>
        <v/>
      </c>
      <c r="M196" s="11">
        <f>IF(AA196&gt;Variables!$B$18,Variables!$B$2-G196-H196,J196+K196)</f>
        <v/>
      </c>
      <c r="N196" s="11">
        <f>Variables!$B$9-AC196</f>
        <v/>
      </c>
      <c r="O196" s="12">
        <f>F196+N196</f>
        <v/>
      </c>
      <c r="P196" s="12">
        <f>MAX(0,C196+N196)</f>
        <v/>
      </c>
      <c r="Q196" s="12">
        <f>D196+MIN(0,C196+N196)</f>
        <v/>
      </c>
      <c r="R196">
        <f>IF(AA196&gt;Variables!$B$18,"Self-funder",IF(AA196&gt;Variables!$B$19,"Tariff band - council contributing","Council pays standard rate"))</f>
        <v/>
      </c>
      <c r="S196" s="12">
        <f>Variables!$B$18</f>
        <v/>
      </c>
      <c r="T196" s="12">
        <f>Variables!$B$19</f>
        <v/>
      </c>
      <c r="U196">
        <f>AA196&lt;=Variables!$B$18</f>
        <v/>
      </c>
      <c r="V196">
        <f>AA196&lt;=Variables!$B$19</f>
        <v/>
      </c>
      <c r="W196">
        <f>P196&lt;=0</f>
        <v/>
      </c>
      <c r="X196" s="12">
        <f>Variables!$B$28</f>
        <v/>
      </c>
      <c r="Y196">
        <f>AB196&lt;=Variables!$B$28</f>
        <v/>
      </c>
      <c r="Z196">
        <f>AB196&lt;=Variables!$B$18</f>
        <v/>
      </c>
      <c r="AA196" s="12">
        <f>AB195</f>
        <v/>
      </c>
      <c r="AB196" s="12">
        <f>AA196+Variables!$B$9-M196</f>
        <v/>
      </c>
      <c r="AC196" s="11">
        <f>IF(MOD(A196-1,Variables!$B$30)=0,Variables!$B$30*M196,0)</f>
        <v/>
      </c>
      <c r="AD196" s="12">
        <f>IF(A196=MATCH(TRUE,$Y$2:$Y$261,0),MAX($AB$2:$AB$261),IF(A196=MATCH(TRUE,$Y$2:$Y$261,0)-1,0,NA()))</f>
        <v/>
      </c>
      <c r="AE196" s="12">
        <f>IF(A196=MATCH(TRUE,$Z$2:$Z$261,0),MAX($AB$2:$AB$261),IF(A196=MATCH(TRUE,$Z$2:$Z$261,0)-1,0,NA()))</f>
        <v/>
      </c>
    </row>
    <row r="197">
      <c r="A197" t="n">
        <v>196</v>
      </c>
      <c r="B197" s="14">
        <f>Variables!$B$24+(A197-1)*7</f>
        <v/>
      </c>
      <c r="C197" s="12">
        <f>P196</f>
        <v/>
      </c>
      <c r="D197" s="12">
        <f>Q196</f>
        <v/>
      </c>
      <c r="E197" s="12">
        <f>C197+IF(A197&gt;Variables!$B$25,D197,0)</f>
        <v/>
      </c>
      <c r="F197" s="12">
        <f>C197+D197</f>
        <v/>
      </c>
      <c r="G197" s="11">
        <f>IF(A197&gt;Variables!$B$22,Variables!$B$12,0)</f>
        <v/>
      </c>
      <c r="H197" s="11">
        <f>IF(AND(A197&gt;Variables!$B$22,Variables!$B$14="Yes"),Variables!$B$13,0)</f>
        <v/>
      </c>
      <c r="I197" s="11">
        <f>IF(AA197&gt;Variables!$B$18,0,IF(AA197&gt;Variables!$B$19,CEILING((AA197-Variables!$B$19)/Variables!$B$21,1)*Variables!$B$20,0))</f>
        <v/>
      </c>
      <c r="J197" s="11">
        <f>IF(AA197&lt;=Variables!$B$18,MIN(Variables!$B$9-Variables!$B$8+I197,Variables!$B$26),0)</f>
        <v/>
      </c>
      <c r="K197" s="11">
        <f>IF(AA197&lt;=Variables!$B$18,Variables!$B$27,0)</f>
        <v/>
      </c>
      <c r="L197" s="11">
        <f>IF(AA197&gt;Variables!$B$18,G197+H197,Variables!$B$26-J197)</f>
        <v/>
      </c>
      <c r="M197" s="11">
        <f>IF(AA197&gt;Variables!$B$18,Variables!$B$2-G197-H197,J197+K197)</f>
        <v/>
      </c>
      <c r="N197" s="11">
        <f>Variables!$B$9-AC197</f>
        <v/>
      </c>
      <c r="O197" s="12">
        <f>F197+N197</f>
        <v/>
      </c>
      <c r="P197" s="12">
        <f>MAX(0,C197+N197)</f>
        <v/>
      </c>
      <c r="Q197" s="12">
        <f>D197+MIN(0,C197+N197)</f>
        <v/>
      </c>
      <c r="R197">
        <f>IF(AA197&gt;Variables!$B$18,"Self-funder",IF(AA197&gt;Variables!$B$19,"Tariff band - council contributing","Council pays standard rate"))</f>
        <v/>
      </c>
      <c r="S197" s="12">
        <f>Variables!$B$18</f>
        <v/>
      </c>
      <c r="T197" s="12">
        <f>Variables!$B$19</f>
        <v/>
      </c>
      <c r="U197">
        <f>AA197&lt;=Variables!$B$18</f>
        <v/>
      </c>
      <c r="V197">
        <f>AA197&lt;=Variables!$B$19</f>
        <v/>
      </c>
      <c r="W197">
        <f>P197&lt;=0</f>
        <v/>
      </c>
      <c r="X197" s="12">
        <f>Variables!$B$28</f>
        <v/>
      </c>
      <c r="Y197">
        <f>AB197&lt;=Variables!$B$28</f>
        <v/>
      </c>
      <c r="Z197">
        <f>AB197&lt;=Variables!$B$18</f>
        <v/>
      </c>
      <c r="AA197" s="12">
        <f>AB196</f>
        <v/>
      </c>
      <c r="AB197" s="12">
        <f>AA197+Variables!$B$9-M197</f>
        <v/>
      </c>
      <c r="AC197" s="11">
        <f>IF(MOD(A197-1,Variables!$B$30)=0,Variables!$B$30*M197,0)</f>
        <v/>
      </c>
      <c r="AD197" s="12">
        <f>IF(A197=MATCH(TRUE,$Y$2:$Y$261,0),MAX($AB$2:$AB$261),IF(A197=MATCH(TRUE,$Y$2:$Y$261,0)-1,0,NA()))</f>
        <v/>
      </c>
      <c r="AE197" s="12">
        <f>IF(A197=MATCH(TRUE,$Z$2:$Z$261,0),MAX($AB$2:$AB$261),IF(A197=MATCH(TRUE,$Z$2:$Z$261,0)-1,0,NA()))</f>
        <v/>
      </c>
    </row>
    <row r="198">
      <c r="A198" t="n">
        <v>197</v>
      </c>
      <c r="B198" s="14">
        <f>Variables!$B$24+(A198-1)*7</f>
        <v/>
      </c>
      <c r="C198" s="12">
        <f>P197</f>
        <v/>
      </c>
      <c r="D198" s="12">
        <f>Q197</f>
        <v/>
      </c>
      <c r="E198" s="12">
        <f>C198+IF(A198&gt;Variables!$B$25,D198,0)</f>
        <v/>
      </c>
      <c r="F198" s="12">
        <f>C198+D198</f>
        <v/>
      </c>
      <c r="G198" s="11">
        <f>IF(A198&gt;Variables!$B$22,Variables!$B$12,0)</f>
        <v/>
      </c>
      <c r="H198" s="11">
        <f>IF(AND(A198&gt;Variables!$B$22,Variables!$B$14="Yes"),Variables!$B$13,0)</f>
        <v/>
      </c>
      <c r="I198" s="11">
        <f>IF(AA198&gt;Variables!$B$18,0,IF(AA198&gt;Variables!$B$19,CEILING((AA198-Variables!$B$19)/Variables!$B$21,1)*Variables!$B$20,0))</f>
        <v/>
      </c>
      <c r="J198" s="11">
        <f>IF(AA198&lt;=Variables!$B$18,MIN(Variables!$B$9-Variables!$B$8+I198,Variables!$B$26),0)</f>
        <v/>
      </c>
      <c r="K198" s="11">
        <f>IF(AA198&lt;=Variables!$B$18,Variables!$B$27,0)</f>
        <v/>
      </c>
      <c r="L198" s="11">
        <f>IF(AA198&gt;Variables!$B$18,G198+H198,Variables!$B$26-J198)</f>
        <v/>
      </c>
      <c r="M198" s="11">
        <f>IF(AA198&gt;Variables!$B$18,Variables!$B$2-G198-H198,J198+K198)</f>
        <v/>
      </c>
      <c r="N198" s="11">
        <f>Variables!$B$9-AC198</f>
        <v/>
      </c>
      <c r="O198" s="12">
        <f>F198+N198</f>
        <v/>
      </c>
      <c r="P198" s="12">
        <f>MAX(0,C198+N198)</f>
        <v/>
      </c>
      <c r="Q198" s="12">
        <f>D198+MIN(0,C198+N198)</f>
        <v/>
      </c>
      <c r="R198">
        <f>IF(AA198&gt;Variables!$B$18,"Self-funder",IF(AA198&gt;Variables!$B$19,"Tariff band - council contributing","Council pays standard rate"))</f>
        <v/>
      </c>
      <c r="S198" s="12">
        <f>Variables!$B$18</f>
        <v/>
      </c>
      <c r="T198" s="12">
        <f>Variables!$B$19</f>
        <v/>
      </c>
      <c r="U198">
        <f>AA198&lt;=Variables!$B$18</f>
        <v/>
      </c>
      <c r="V198">
        <f>AA198&lt;=Variables!$B$19</f>
        <v/>
      </c>
      <c r="W198">
        <f>P198&lt;=0</f>
        <v/>
      </c>
      <c r="X198" s="12">
        <f>Variables!$B$28</f>
        <v/>
      </c>
      <c r="Y198">
        <f>AB198&lt;=Variables!$B$28</f>
        <v/>
      </c>
      <c r="Z198">
        <f>AB198&lt;=Variables!$B$18</f>
        <v/>
      </c>
      <c r="AA198" s="12">
        <f>AB197</f>
        <v/>
      </c>
      <c r="AB198" s="12">
        <f>AA198+Variables!$B$9-M198</f>
        <v/>
      </c>
      <c r="AC198" s="11">
        <f>IF(MOD(A198-1,Variables!$B$30)=0,Variables!$B$30*M198,0)</f>
        <v/>
      </c>
      <c r="AD198" s="12">
        <f>IF(A198=MATCH(TRUE,$Y$2:$Y$261,0),MAX($AB$2:$AB$261),IF(A198=MATCH(TRUE,$Y$2:$Y$261,0)-1,0,NA()))</f>
        <v/>
      </c>
      <c r="AE198" s="12">
        <f>IF(A198=MATCH(TRUE,$Z$2:$Z$261,0),MAX($AB$2:$AB$261),IF(A198=MATCH(TRUE,$Z$2:$Z$261,0)-1,0,NA()))</f>
        <v/>
      </c>
    </row>
    <row r="199">
      <c r="A199" t="n">
        <v>198</v>
      </c>
      <c r="B199" s="14">
        <f>Variables!$B$24+(A199-1)*7</f>
        <v/>
      </c>
      <c r="C199" s="12">
        <f>P198</f>
        <v/>
      </c>
      <c r="D199" s="12">
        <f>Q198</f>
        <v/>
      </c>
      <c r="E199" s="12">
        <f>C199+IF(A199&gt;Variables!$B$25,D199,0)</f>
        <v/>
      </c>
      <c r="F199" s="12">
        <f>C199+D199</f>
        <v/>
      </c>
      <c r="G199" s="11">
        <f>IF(A199&gt;Variables!$B$22,Variables!$B$12,0)</f>
        <v/>
      </c>
      <c r="H199" s="11">
        <f>IF(AND(A199&gt;Variables!$B$22,Variables!$B$14="Yes"),Variables!$B$13,0)</f>
        <v/>
      </c>
      <c r="I199" s="11">
        <f>IF(AA199&gt;Variables!$B$18,0,IF(AA199&gt;Variables!$B$19,CEILING((AA199-Variables!$B$19)/Variables!$B$21,1)*Variables!$B$20,0))</f>
        <v/>
      </c>
      <c r="J199" s="11">
        <f>IF(AA199&lt;=Variables!$B$18,MIN(Variables!$B$9-Variables!$B$8+I199,Variables!$B$26),0)</f>
        <v/>
      </c>
      <c r="K199" s="11">
        <f>IF(AA199&lt;=Variables!$B$18,Variables!$B$27,0)</f>
        <v/>
      </c>
      <c r="L199" s="11">
        <f>IF(AA199&gt;Variables!$B$18,G199+H199,Variables!$B$26-J199)</f>
        <v/>
      </c>
      <c r="M199" s="11">
        <f>IF(AA199&gt;Variables!$B$18,Variables!$B$2-G199-H199,J199+K199)</f>
        <v/>
      </c>
      <c r="N199" s="11">
        <f>Variables!$B$9-AC199</f>
        <v/>
      </c>
      <c r="O199" s="12">
        <f>F199+N199</f>
        <v/>
      </c>
      <c r="P199" s="12">
        <f>MAX(0,C199+N199)</f>
        <v/>
      </c>
      <c r="Q199" s="12">
        <f>D199+MIN(0,C199+N199)</f>
        <v/>
      </c>
      <c r="R199">
        <f>IF(AA199&gt;Variables!$B$18,"Self-funder",IF(AA199&gt;Variables!$B$19,"Tariff band - council contributing","Council pays standard rate"))</f>
        <v/>
      </c>
      <c r="S199" s="12">
        <f>Variables!$B$18</f>
        <v/>
      </c>
      <c r="T199" s="12">
        <f>Variables!$B$19</f>
        <v/>
      </c>
      <c r="U199">
        <f>AA199&lt;=Variables!$B$18</f>
        <v/>
      </c>
      <c r="V199">
        <f>AA199&lt;=Variables!$B$19</f>
        <v/>
      </c>
      <c r="W199">
        <f>P199&lt;=0</f>
        <v/>
      </c>
      <c r="X199" s="12">
        <f>Variables!$B$28</f>
        <v/>
      </c>
      <c r="Y199">
        <f>AB199&lt;=Variables!$B$28</f>
        <v/>
      </c>
      <c r="Z199">
        <f>AB199&lt;=Variables!$B$18</f>
        <v/>
      </c>
      <c r="AA199" s="12">
        <f>AB198</f>
        <v/>
      </c>
      <c r="AB199" s="12">
        <f>AA199+Variables!$B$9-M199</f>
        <v/>
      </c>
      <c r="AC199" s="11">
        <f>IF(MOD(A199-1,Variables!$B$30)=0,Variables!$B$30*M199,0)</f>
        <v/>
      </c>
      <c r="AD199" s="12">
        <f>IF(A199=MATCH(TRUE,$Y$2:$Y$261,0),MAX($AB$2:$AB$261),IF(A199=MATCH(TRUE,$Y$2:$Y$261,0)-1,0,NA()))</f>
        <v/>
      </c>
      <c r="AE199" s="12">
        <f>IF(A199=MATCH(TRUE,$Z$2:$Z$261,0),MAX($AB$2:$AB$261),IF(A199=MATCH(TRUE,$Z$2:$Z$261,0)-1,0,NA()))</f>
        <v/>
      </c>
    </row>
    <row r="200">
      <c r="A200" t="n">
        <v>199</v>
      </c>
      <c r="B200" s="14">
        <f>Variables!$B$24+(A200-1)*7</f>
        <v/>
      </c>
      <c r="C200" s="12">
        <f>P199</f>
        <v/>
      </c>
      <c r="D200" s="12">
        <f>Q199</f>
        <v/>
      </c>
      <c r="E200" s="12">
        <f>C200+IF(A200&gt;Variables!$B$25,D200,0)</f>
        <v/>
      </c>
      <c r="F200" s="12">
        <f>C200+D200</f>
        <v/>
      </c>
      <c r="G200" s="11">
        <f>IF(A200&gt;Variables!$B$22,Variables!$B$12,0)</f>
        <v/>
      </c>
      <c r="H200" s="11">
        <f>IF(AND(A200&gt;Variables!$B$22,Variables!$B$14="Yes"),Variables!$B$13,0)</f>
        <v/>
      </c>
      <c r="I200" s="11">
        <f>IF(AA200&gt;Variables!$B$18,0,IF(AA200&gt;Variables!$B$19,CEILING((AA200-Variables!$B$19)/Variables!$B$21,1)*Variables!$B$20,0))</f>
        <v/>
      </c>
      <c r="J200" s="11">
        <f>IF(AA200&lt;=Variables!$B$18,MIN(Variables!$B$9-Variables!$B$8+I200,Variables!$B$26),0)</f>
        <v/>
      </c>
      <c r="K200" s="11">
        <f>IF(AA200&lt;=Variables!$B$18,Variables!$B$27,0)</f>
        <v/>
      </c>
      <c r="L200" s="11">
        <f>IF(AA200&gt;Variables!$B$18,G200+H200,Variables!$B$26-J200)</f>
        <v/>
      </c>
      <c r="M200" s="11">
        <f>IF(AA200&gt;Variables!$B$18,Variables!$B$2-G200-H200,J200+K200)</f>
        <v/>
      </c>
      <c r="N200" s="11">
        <f>Variables!$B$9-AC200</f>
        <v/>
      </c>
      <c r="O200" s="12">
        <f>F200+N200</f>
        <v/>
      </c>
      <c r="P200" s="12">
        <f>MAX(0,C200+N200)</f>
        <v/>
      </c>
      <c r="Q200" s="12">
        <f>D200+MIN(0,C200+N200)</f>
        <v/>
      </c>
      <c r="R200">
        <f>IF(AA200&gt;Variables!$B$18,"Self-funder",IF(AA200&gt;Variables!$B$19,"Tariff band - council contributing","Council pays standard rate"))</f>
        <v/>
      </c>
      <c r="S200" s="12">
        <f>Variables!$B$18</f>
        <v/>
      </c>
      <c r="T200" s="12">
        <f>Variables!$B$19</f>
        <v/>
      </c>
      <c r="U200">
        <f>AA200&lt;=Variables!$B$18</f>
        <v/>
      </c>
      <c r="V200">
        <f>AA200&lt;=Variables!$B$19</f>
        <v/>
      </c>
      <c r="W200">
        <f>P200&lt;=0</f>
        <v/>
      </c>
      <c r="X200" s="12">
        <f>Variables!$B$28</f>
        <v/>
      </c>
      <c r="Y200">
        <f>AB200&lt;=Variables!$B$28</f>
        <v/>
      </c>
      <c r="Z200">
        <f>AB200&lt;=Variables!$B$18</f>
        <v/>
      </c>
      <c r="AA200" s="12">
        <f>AB199</f>
        <v/>
      </c>
      <c r="AB200" s="12">
        <f>AA200+Variables!$B$9-M200</f>
        <v/>
      </c>
      <c r="AC200" s="11">
        <f>IF(MOD(A200-1,Variables!$B$30)=0,Variables!$B$30*M200,0)</f>
        <v/>
      </c>
      <c r="AD200" s="12">
        <f>IF(A200=MATCH(TRUE,$Y$2:$Y$261,0),MAX($AB$2:$AB$261),IF(A200=MATCH(TRUE,$Y$2:$Y$261,0)-1,0,NA()))</f>
        <v/>
      </c>
      <c r="AE200" s="12">
        <f>IF(A200=MATCH(TRUE,$Z$2:$Z$261,0),MAX($AB$2:$AB$261),IF(A200=MATCH(TRUE,$Z$2:$Z$261,0)-1,0,NA()))</f>
        <v/>
      </c>
    </row>
    <row r="201">
      <c r="A201" t="n">
        <v>200</v>
      </c>
      <c r="B201" s="14">
        <f>Variables!$B$24+(A201-1)*7</f>
        <v/>
      </c>
      <c r="C201" s="12">
        <f>P200</f>
        <v/>
      </c>
      <c r="D201" s="12">
        <f>Q200</f>
        <v/>
      </c>
      <c r="E201" s="12">
        <f>C201+IF(A201&gt;Variables!$B$25,D201,0)</f>
        <v/>
      </c>
      <c r="F201" s="12">
        <f>C201+D201</f>
        <v/>
      </c>
      <c r="G201" s="11">
        <f>IF(A201&gt;Variables!$B$22,Variables!$B$12,0)</f>
        <v/>
      </c>
      <c r="H201" s="11">
        <f>IF(AND(A201&gt;Variables!$B$22,Variables!$B$14="Yes"),Variables!$B$13,0)</f>
        <v/>
      </c>
      <c r="I201" s="11">
        <f>IF(AA201&gt;Variables!$B$18,0,IF(AA201&gt;Variables!$B$19,CEILING((AA201-Variables!$B$19)/Variables!$B$21,1)*Variables!$B$20,0))</f>
        <v/>
      </c>
      <c r="J201" s="11">
        <f>IF(AA201&lt;=Variables!$B$18,MIN(Variables!$B$9-Variables!$B$8+I201,Variables!$B$26),0)</f>
        <v/>
      </c>
      <c r="K201" s="11">
        <f>IF(AA201&lt;=Variables!$B$18,Variables!$B$27,0)</f>
        <v/>
      </c>
      <c r="L201" s="11">
        <f>IF(AA201&gt;Variables!$B$18,G201+H201,Variables!$B$26-J201)</f>
        <v/>
      </c>
      <c r="M201" s="11">
        <f>IF(AA201&gt;Variables!$B$18,Variables!$B$2-G201-H201,J201+K201)</f>
        <v/>
      </c>
      <c r="N201" s="11">
        <f>Variables!$B$9-AC201</f>
        <v/>
      </c>
      <c r="O201" s="12">
        <f>F201+N201</f>
        <v/>
      </c>
      <c r="P201" s="12">
        <f>MAX(0,C201+N201)</f>
        <v/>
      </c>
      <c r="Q201" s="12">
        <f>D201+MIN(0,C201+N201)</f>
        <v/>
      </c>
      <c r="R201">
        <f>IF(AA201&gt;Variables!$B$18,"Self-funder",IF(AA201&gt;Variables!$B$19,"Tariff band - council contributing","Council pays standard rate"))</f>
        <v/>
      </c>
      <c r="S201" s="12">
        <f>Variables!$B$18</f>
        <v/>
      </c>
      <c r="T201" s="12">
        <f>Variables!$B$19</f>
        <v/>
      </c>
      <c r="U201">
        <f>AA201&lt;=Variables!$B$18</f>
        <v/>
      </c>
      <c r="V201">
        <f>AA201&lt;=Variables!$B$19</f>
        <v/>
      </c>
      <c r="W201">
        <f>P201&lt;=0</f>
        <v/>
      </c>
      <c r="X201" s="12">
        <f>Variables!$B$28</f>
        <v/>
      </c>
      <c r="Y201">
        <f>AB201&lt;=Variables!$B$28</f>
        <v/>
      </c>
      <c r="Z201">
        <f>AB201&lt;=Variables!$B$18</f>
        <v/>
      </c>
      <c r="AA201" s="12">
        <f>AB200</f>
        <v/>
      </c>
      <c r="AB201" s="12">
        <f>AA201+Variables!$B$9-M201</f>
        <v/>
      </c>
      <c r="AC201" s="11">
        <f>IF(MOD(A201-1,Variables!$B$30)=0,Variables!$B$30*M201,0)</f>
        <v/>
      </c>
      <c r="AD201" s="12">
        <f>IF(A201=MATCH(TRUE,$Y$2:$Y$261,0),MAX($AB$2:$AB$261),IF(A201=MATCH(TRUE,$Y$2:$Y$261,0)-1,0,NA()))</f>
        <v/>
      </c>
      <c r="AE201" s="12">
        <f>IF(A201=MATCH(TRUE,$Z$2:$Z$261,0),MAX($AB$2:$AB$261),IF(A201=MATCH(TRUE,$Z$2:$Z$261,0)-1,0,NA()))</f>
        <v/>
      </c>
    </row>
    <row r="202">
      <c r="A202" t="n">
        <v>201</v>
      </c>
      <c r="B202" s="14">
        <f>Variables!$B$24+(A202-1)*7</f>
        <v/>
      </c>
      <c r="C202" s="12">
        <f>P201</f>
        <v/>
      </c>
      <c r="D202" s="12">
        <f>Q201</f>
        <v/>
      </c>
      <c r="E202" s="12">
        <f>C202+IF(A202&gt;Variables!$B$25,D202,0)</f>
        <v/>
      </c>
      <c r="F202" s="12">
        <f>C202+D202</f>
        <v/>
      </c>
      <c r="G202" s="11">
        <f>IF(A202&gt;Variables!$B$22,Variables!$B$12,0)</f>
        <v/>
      </c>
      <c r="H202" s="11">
        <f>IF(AND(A202&gt;Variables!$B$22,Variables!$B$14="Yes"),Variables!$B$13,0)</f>
        <v/>
      </c>
      <c r="I202" s="11">
        <f>IF(AA202&gt;Variables!$B$18,0,IF(AA202&gt;Variables!$B$19,CEILING((AA202-Variables!$B$19)/Variables!$B$21,1)*Variables!$B$20,0))</f>
        <v/>
      </c>
      <c r="J202" s="11">
        <f>IF(AA202&lt;=Variables!$B$18,MIN(Variables!$B$9-Variables!$B$8+I202,Variables!$B$26),0)</f>
        <v/>
      </c>
      <c r="K202" s="11">
        <f>IF(AA202&lt;=Variables!$B$18,Variables!$B$27,0)</f>
        <v/>
      </c>
      <c r="L202" s="11">
        <f>IF(AA202&gt;Variables!$B$18,G202+H202,Variables!$B$26-J202)</f>
        <v/>
      </c>
      <c r="M202" s="11">
        <f>IF(AA202&gt;Variables!$B$18,Variables!$B$2-G202-H202,J202+K202)</f>
        <v/>
      </c>
      <c r="N202" s="11">
        <f>Variables!$B$9-AC202</f>
        <v/>
      </c>
      <c r="O202" s="12">
        <f>F202+N202</f>
        <v/>
      </c>
      <c r="P202" s="12">
        <f>MAX(0,C202+N202)</f>
        <v/>
      </c>
      <c r="Q202" s="12">
        <f>D202+MIN(0,C202+N202)</f>
        <v/>
      </c>
      <c r="R202">
        <f>IF(AA202&gt;Variables!$B$18,"Self-funder",IF(AA202&gt;Variables!$B$19,"Tariff band - council contributing","Council pays standard rate"))</f>
        <v/>
      </c>
      <c r="S202" s="12">
        <f>Variables!$B$18</f>
        <v/>
      </c>
      <c r="T202" s="12">
        <f>Variables!$B$19</f>
        <v/>
      </c>
      <c r="U202">
        <f>AA202&lt;=Variables!$B$18</f>
        <v/>
      </c>
      <c r="V202">
        <f>AA202&lt;=Variables!$B$19</f>
        <v/>
      </c>
      <c r="W202">
        <f>P202&lt;=0</f>
        <v/>
      </c>
      <c r="X202" s="12">
        <f>Variables!$B$28</f>
        <v/>
      </c>
      <c r="Y202">
        <f>AB202&lt;=Variables!$B$28</f>
        <v/>
      </c>
      <c r="Z202">
        <f>AB202&lt;=Variables!$B$18</f>
        <v/>
      </c>
      <c r="AA202" s="12">
        <f>AB201</f>
        <v/>
      </c>
      <c r="AB202" s="12">
        <f>AA202+Variables!$B$9-M202</f>
        <v/>
      </c>
      <c r="AC202" s="11">
        <f>IF(MOD(A202-1,Variables!$B$30)=0,Variables!$B$30*M202,0)</f>
        <v/>
      </c>
      <c r="AD202" s="12">
        <f>IF(A202=MATCH(TRUE,$Y$2:$Y$261,0),MAX($AB$2:$AB$261),IF(A202=MATCH(TRUE,$Y$2:$Y$261,0)-1,0,NA()))</f>
        <v/>
      </c>
      <c r="AE202" s="12">
        <f>IF(A202=MATCH(TRUE,$Z$2:$Z$261,0),MAX($AB$2:$AB$261),IF(A202=MATCH(TRUE,$Z$2:$Z$261,0)-1,0,NA()))</f>
        <v/>
      </c>
    </row>
    <row r="203">
      <c r="A203" t="n">
        <v>202</v>
      </c>
      <c r="B203" s="14">
        <f>Variables!$B$24+(A203-1)*7</f>
        <v/>
      </c>
      <c r="C203" s="12">
        <f>P202</f>
        <v/>
      </c>
      <c r="D203" s="12">
        <f>Q202</f>
        <v/>
      </c>
      <c r="E203" s="12">
        <f>C203+IF(A203&gt;Variables!$B$25,D203,0)</f>
        <v/>
      </c>
      <c r="F203" s="12">
        <f>C203+D203</f>
        <v/>
      </c>
      <c r="G203" s="11">
        <f>IF(A203&gt;Variables!$B$22,Variables!$B$12,0)</f>
        <v/>
      </c>
      <c r="H203" s="11">
        <f>IF(AND(A203&gt;Variables!$B$22,Variables!$B$14="Yes"),Variables!$B$13,0)</f>
        <v/>
      </c>
      <c r="I203" s="11">
        <f>IF(AA203&gt;Variables!$B$18,0,IF(AA203&gt;Variables!$B$19,CEILING((AA203-Variables!$B$19)/Variables!$B$21,1)*Variables!$B$20,0))</f>
        <v/>
      </c>
      <c r="J203" s="11">
        <f>IF(AA203&lt;=Variables!$B$18,MIN(Variables!$B$9-Variables!$B$8+I203,Variables!$B$26),0)</f>
        <v/>
      </c>
      <c r="K203" s="11">
        <f>IF(AA203&lt;=Variables!$B$18,Variables!$B$27,0)</f>
        <v/>
      </c>
      <c r="L203" s="11">
        <f>IF(AA203&gt;Variables!$B$18,G203+H203,Variables!$B$26-J203)</f>
        <v/>
      </c>
      <c r="M203" s="11">
        <f>IF(AA203&gt;Variables!$B$18,Variables!$B$2-G203-H203,J203+K203)</f>
        <v/>
      </c>
      <c r="N203" s="11">
        <f>Variables!$B$9-AC203</f>
        <v/>
      </c>
      <c r="O203" s="12">
        <f>F203+N203</f>
        <v/>
      </c>
      <c r="P203" s="12">
        <f>MAX(0,C203+N203)</f>
        <v/>
      </c>
      <c r="Q203" s="12">
        <f>D203+MIN(0,C203+N203)</f>
        <v/>
      </c>
      <c r="R203">
        <f>IF(AA203&gt;Variables!$B$18,"Self-funder",IF(AA203&gt;Variables!$B$19,"Tariff band - council contributing","Council pays standard rate"))</f>
        <v/>
      </c>
      <c r="S203" s="12">
        <f>Variables!$B$18</f>
        <v/>
      </c>
      <c r="T203" s="12">
        <f>Variables!$B$19</f>
        <v/>
      </c>
      <c r="U203">
        <f>AA203&lt;=Variables!$B$18</f>
        <v/>
      </c>
      <c r="V203">
        <f>AA203&lt;=Variables!$B$19</f>
        <v/>
      </c>
      <c r="W203">
        <f>P203&lt;=0</f>
        <v/>
      </c>
      <c r="X203" s="12">
        <f>Variables!$B$28</f>
        <v/>
      </c>
      <c r="Y203">
        <f>AB203&lt;=Variables!$B$28</f>
        <v/>
      </c>
      <c r="Z203">
        <f>AB203&lt;=Variables!$B$18</f>
        <v/>
      </c>
      <c r="AA203" s="12">
        <f>AB202</f>
        <v/>
      </c>
      <c r="AB203" s="12">
        <f>AA203+Variables!$B$9-M203</f>
        <v/>
      </c>
      <c r="AC203" s="11">
        <f>IF(MOD(A203-1,Variables!$B$30)=0,Variables!$B$30*M203,0)</f>
        <v/>
      </c>
      <c r="AD203" s="12">
        <f>IF(A203=MATCH(TRUE,$Y$2:$Y$261,0),MAX($AB$2:$AB$261),IF(A203=MATCH(TRUE,$Y$2:$Y$261,0)-1,0,NA()))</f>
        <v/>
      </c>
      <c r="AE203" s="12">
        <f>IF(A203=MATCH(TRUE,$Z$2:$Z$261,0),MAX($AB$2:$AB$261),IF(A203=MATCH(TRUE,$Z$2:$Z$261,0)-1,0,NA()))</f>
        <v/>
      </c>
    </row>
    <row r="204">
      <c r="A204" t="n">
        <v>203</v>
      </c>
      <c r="B204" s="14">
        <f>Variables!$B$24+(A204-1)*7</f>
        <v/>
      </c>
      <c r="C204" s="12">
        <f>P203</f>
        <v/>
      </c>
      <c r="D204" s="12">
        <f>Q203</f>
        <v/>
      </c>
      <c r="E204" s="12">
        <f>C204+IF(A204&gt;Variables!$B$25,D204,0)</f>
        <v/>
      </c>
      <c r="F204" s="12">
        <f>C204+D204</f>
        <v/>
      </c>
      <c r="G204" s="11">
        <f>IF(A204&gt;Variables!$B$22,Variables!$B$12,0)</f>
        <v/>
      </c>
      <c r="H204" s="11">
        <f>IF(AND(A204&gt;Variables!$B$22,Variables!$B$14="Yes"),Variables!$B$13,0)</f>
        <v/>
      </c>
      <c r="I204" s="11">
        <f>IF(AA204&gt;Variables!$B$18,0,IF(AA204&gt;Variables!$B$19,CEILING((AA204-Variables!$B$19)/Variables!$B$21,1)*Variables!$B$20,0))</f>
        <v/>
      </c>
      <c r="J204" s="11">
        <f>IF(AA204&lt;=Variables!$B$18,MIN(Variables!$B$9-Variables!$B$8+I204,Variables!$B$26),0)</f>
        <v/>
      </c>
      <c r="K204" s="11">
        <f>IF(AA204&lt;=Variables!$B$18,Variables!$B$27,0)</f>
        <v/>
      </c>
      <c r="L204" s="11">
        <f>IF(AA204&gt;Variables!$B$18,G204+H204,Variables!$B$26-J204)</f>
        <v/>
      </c>
      <c r="M204" s="11">
        <f>IF(AA204&gt;Variables!$B$18,Variables!$B$2-G204-H204,J204+K204)</f>
        <v/>
      </c>
      <c r="N204" s="11">
        <f>Variables!$B$9-AC204</f>
        <v/>
      </c>
      <c r="O204" s="12">
        <f>F204+N204</f>
        <v/>
      </c>
      <c r="P204" s="12">
        <f>MAX(0,C204+N204)</f>
        <v/>
      </c>
      <c r="Q204" s="12">
        <f>D204+MIN(0,C204+N204)</f>
        <v/>
      </c>
      <c r="R204">
        <f>IF(AA204&gt;Variables!$B$18,"Self-funder",IF(AA204&gt;Variables!$B$19,"Tariff band - council contributing","Council pays standard rate"))</f>
        <v/>
      </c>
      <c r="S204" s="12">
        <f>Variables!$B$18</f>
        <v/>
      </c>
      <c r="T204" s="12">
        <f>Variables!$B$19</f>
        <v/>
      </c>
      <c r="U204">
        <f>AA204&lt;=Variables!$B$18</f>
        <v/>
      </c>
      <c r="V204">
        <f>AA204&lt;=Variables!$B$19</f>
        <v/>
      </c>
      <c r="W204">
        <f>P204&lt;=0</f>
        <v/>
      </c>
      <c r="X204" s="12">
        <f>Variables!$B$28</f>
        <v/>
      </c>
      <c r="Y204">
        <f>AB204&lt;=Variables!$B$28</f>
        <v/>
      </c>
      <c r="Z204">
        <f>AB204&lt;=Variables!$B$18</f>
        <v/>
      </c>
      <c r="AA204" s="12">
        <f>AB203</f>
        <v/>
      </c>
      <c r="AB204" s="12">
        <f>AA204+Variables!$B$9-M204</f>
        <v/>
      </c>
      <c r="AC204" s="11">
        <f>IF(MOD(A204-1,Variables!$B$30)=0,Variables!$B$30*M204,0)</f>
        <v/>
      </c>
      <c r="AD204" s="12">
        <f>IF(A204=MATCH(TRUE,$Y$2:$Y$261,0),MAX($AB$2:$AB$261),IF(A204=MATCH(TRUE,$Y$2:$Y$261,0)-1,0,NA()))</f>
        <v/>
      </c>
      <c r="AE204" s="12">
        <f>IF(A204=MATCH(TRUE,$Z$2:$Z$261,0),MAX($AB$2:$AB$261),IF(A204=MATCH(TRUE,$Z$2:$Z$261,0)-1,0,NA()))</f>
        <v/>
      </c>
    </row>
    <row r="205">
      <c r="A205" t="n">
        <v>204</v>
      </c>
      <c r="B205" s="14">
        <f>Variables!$B$24+(A205-1)*7</f>
        <v/>
      </c>
      <c r="C205" s="12">
        <f>P204</f>
        <v/>
      </c>
      <c r="D205" s="12">
        <f>Q204</f>
        <v/>
      </c>
      <c r="E205" s="12">
        <f>C205+IF(A205&gt;Variables!$B$25,D205,0)</f>
        <v/>
      </c>
      <c r="F205" s="12">
        <f>C205+D205</f>
        <v/>
      </c>
      <c r="G205" s="11">
        <f>IF(A205&gt;Variables!$B$22,Variables!$B$12,0)</f>
        <v/>
      </c>
      <c r="H205" s="11">
        <f>IF(AND(A205&gt;Variables!$B$22,Variables!$B$14="Yes"),Variables!$B$13,0)</f>
        <v/>
      </c>
      <c r="I205" s="11">
        <f>IF(AA205&gt;Variables!$B$18,0,IF(AA205&gt;Variables!$B$19,CEILING((AA205-Variables!$B$19)/Variables!$B$21,1)*Variables!$B$20,0))</f>
        <v/>
      </c>
      <c r="J205" s="11">
        <f>IF(AA205&lt;=Variables!$B$18,MIN(Variables!$B$9-Variables!$B$8+I205,Variables!$B$26),0)</f>
        <v/>
      </c>
      <c r="K205" s="11">
        <f>IF(AA205&lt;=Variables!$B$18,Variables!$B$27,0)</f>
        <v/>
      </c>
      <c r="L205" s="11">
        <f>IF(AA205&gt;Variables!$B$18,G205+H205,Variables!$B$26-J205)</f>
        <v/>
      </c>
      <c r="M205" s="11">
        <f>IF(AA205&gt;Variables!$B$18,Variables!$B$2-G205-H205,J205+K205)</f>
        <v/>
      </c>
      <c r="N205" s="11">
        <f>Variables!$B$9-AC205</f>
        <v/>
      </c>
      <c r="O205" s="12">
        <f>F205+N205</f>
        <v/>
      </c>
      <c r="P205" s="12">
        <f>MAX(0,C205+N205)</f>
        <v/>
      </c>
      <c r="Q205" s="12">
        <f>D205+MIN(0,C205+N205)</f>
        <v/>
      </c>
      <c r="R205">
        <f>IF(AA205&gt;Variables!$B$18,"Self-funder",IF(AA205&gt;Variables!$B$19,"Tariff band - council contributing","Council pays standard rate"))</f>
        <v/>
      </c>
      <c r="S205" s="12">
        <f>Variables!$B$18</f>
        <v/>
      </c>
      <c r="T205" s="12">
        <f>Variables!$B$19</f>
        <v/>
      </c>
      <c r="U205">
        <f>AA205&lt;=Variables!$B$18</f>
        <v/>
      </c>
      <c r="V205">
        <f>AA205&lt;=Variables!$B$19</f>
        <v/>
      </c>
      <c r="W205">
        <f>P205&lt;=0</f>
        <v/>
      </c>
      <c r="X205" s="12">
        <f>Variables!$B$28</f>
        <v/>
      </c>
      <c r="Y205">
        <f>AB205&lt;=Variables!$B$28</f>
        <v/>
      </c>
      <c r="Z205">
        <f>AB205&lt;=Variables!$B$18</f>
        <v/>
      </c>
      <c r="AA205" s="12">
        <f>AB204</f>
        <v/>
      </c>
      <c r="AB205" s="12">
        <f>AA205+Variables!$B$9-M205</f>
        <v/>
      </c>
      <c r="AC205" s="11">
        <f>IF(MOD(A205-1,Variables!$B$30)=0,Variables!$B$30*M205,0)</f>
        <v/>
      </c>
      <c r="AD205" s="12">
        <f>IF(A205=MATCH(TRUE,$Y$2:$Y$261,0),MAX($AB$2:$AB$261),IF(A205=MATCH(TRUE,$Y$2:$Y$261,0)-1,0,NA()))</f>
        <v/>
      </c>
      <c r="AE205" s="12">
        <f>IF(A205=MATCH(TRUE,$Z$2:$Z$261,0),MAX($AB$2:$AB$261),IF(A205=MATCH(TRUE,$Z$2:$Z$261,0)-1,0,NA()))</f>
        <v/>
      </c>
    </row>
    <row r="206">
      <c r="A206" t="n">
        <v>205</v>
      </c>
      <c r="B206" s="14">
        <f>Variables!$B$24+(A206-1)*7</f>
        <v/>
      </c>
      <c r="C206" s="12">
        <f>P205</f>
        <v/>
      </c>
      <c r="D206" s="12">
        <f>Q205</f>
        <v/>
      </c>
      <c r="E206" s="12">
        <f>C206+IF(A206&gt;Variables!$B$25,D206,0)</f>
        <v/>
      </c>
      <c r="F206" s="12">
        <f>C206+D206</f>
        <v/>
      </c>
      <c r="G206" s="11">
        <f>IF(A206&gt;Variables!$B$22,Variables!$B$12,0)</f>
        <v/>
      </c>
      <c r="H206" s="11">
        <f>IF(AND(A206&gt;Variables!$B$22,Variables!$B$14="Yes"),Variables!$B$13,0)</f>
        <v/>
      </c>
      <c r="I206" s="11">
        <f>IF(AA206&gt;Variables!$B$18,0,IF(AA206&gt;Variables!$B$19,CEILING((AA206-Variables!$B$19)/Variables!$B$21,1)*Variables!$B$20,0))</f>
        <v/>
      </c>
      <c r="J206" s="11">
        <f>IF(AA206&lt;=Variables!$B$18,MIN(Variables!$B$9-Variables!$B$8+I206,Variables!$B$26),0)</f>
        <v/>
      </c>
      <c r="K206" s="11">
        <f>IF(AA206&lt;=Variables!$B$18,Variables!$B$27,0)</f>
        <v/>
      </c>
      <c r="L206" s="11">
        <f>IF(AA206&gt;Variables!$B$18,G206+H206,Variables!$B$26-J206)</f>
        <v/>
      </c>
      <c r="M206" s="11">
        <f>IF(AA206&gt;Variables!$B$18,Variables!$B$2-G206-H206,J206+K206)</f>
        <v/>
      </c>
      <c r="N206" s="11">
        <f>Variables!$B$9-AC206</f>
        <v/>
      </c>
      <c r="O206" s="12">
        <f>F206+N206</f>
        <v/>
      </c>
      <c r="P206" s="12">
        <f>MAX(0,C206+N206)</f>
        <v/>
      </c>
      <c r="Q206" s="12">
        <f>D206+MIN(0,C206+N206)</f>
        <v/>
      </c>
      <c r="R206">
        <f>IF(AA206&gt;Variables!$B$18,"Self-funder",IF(AA206&gt;Variables!$B$19,"Tariff band - council contributing","Council pays standard rate"))</f>
        <v/>
      </c>
      <c r="S206" s="12">
        <f>Variables!$B$18</f>
        <v/>
      </c>
      <c r="T206" s="12">
        <f>Variables!$B$19</f>
        <v/>
      </c>
      <c r="U206">
        <f>AA206&lt;=Variables!$B$18</f>
        <v/>
      </c>
      <c r="V206">
        <f>AA206&lt;=Variables!$B$19</f>
        <v/>
      </c>
      <c r="W206">
        <f>P206&lt;=0</f>
        <v/>
      </c>
      <c r="X206" s="12">
        <f>Variables!$B$28</f>
        <v/>
      </c>
      <c r="Y206">
        <f>AB206&lt;=Variables!$B$28</f>
        <v/>
      </c>
      <c r="Z206">
        <f>AB206&lt;=Variables!$B$18</f>
        <v/>
      </c>
      <c r="AA206" s="12">
        <f>AB205</f>
        <v/>
      </c>
      <c r="AB206" s="12">
        <f>AA206+Variables!$B$9-M206</f>
        <v/>
      </c>
      <c r="AC206" s="11">
        <f>IF(MOD(A206-1,Variables!$B$30)=0,Variables!$B$30*M206,0)</f>
        <v/>
      </c>
      <c r="AD206" s="12">
        <f>IF(A206=MATCH(TRUE,$Y$2:$Y$261,0),MAX($AB$2:$AB$261),IF(A206=MATCH(TRUE,$Y$2:$Y$261,0)-1,0,NA()))</f>
        <v/>
      </c>
      <c r="AE206" s="12">
        <f>IF(A206=MATCH(TRUE,$Z$2:$Z$261,0),MAX($AB$2:$AB$261),IF(A206=MATCH(TRUE,$Z$2:$Z$261,0)-1,0,NA()))</f>
        <v/>
      </c>
    </row>
    <row r="207">
      <c r="A207" t="n">
        <v>206</v>
      </c>
      <c r="B207" s="14">
        <f>Variables!$B$24+(A207-1)*7</f>
        <v/>
      </c>
      <c r="C207" s="12">
        <f>P206</f>
        <v/>
      </c>
      <c r="D207" s="12">
        <f>Q206</f>
        <v/>
      </c>
      <c r="E207" s="12">
        <f>C207+IF(A207&gt;Variables!$B$25,D207,0)</f>
        <v/>
      </c>
      <c r="F207" s="12">
        <f>C207+D207</f>
        <v/>
      </c>
      <c r="G207" s="11">
        <f>IF(A207&gt;Variables!$B$22,Variables!$B$12,0)</f>
        <v/>
      </c>
      <c r="H207" s="11">
        <f>IF(AND(A207&gt;Variables!$B$22,Variables!$B$14="Yes"),Variables!$B$13,0)</f>
        <v/>
      </c>
      <c r="I207" s="11">
        <f>IF(AA207&gt;Variables!$B$18,0,IF(AA207&gt;Variables!$B$19,CEILING((AA207-Variables!$B$19)/Variables!$B$21,1)*Variables!$B$20,0))</f>
        <v/>
      </c>
      <c r="J207" s="11">
        <f>IF(AA207&lt;=Variables!$B$18,MIN(Variables!$B$9-Variables!$B$8+I207,Variables!$B$26),0)</f>
        <v/>
      </c>
      <c r="K207" s="11">
        <f>IF(AA207&lt;=Variables!$B$18,Variables!$B$27,0)</f>
        <v/>
      </c>
      <c r="L207" s="11">
        <f>IF(AA207&gt;Variables!$B$18,G207+H207,Variables!$B$26-J207)</f>
        <v/>
      </c>
      <c r="M207" s="11">
        <f>IF(AA207&gt;Variables!$B$18,Variables!$B$2-G207-H207,J207+K207)</f>
        <v/>
      </c>
      <c r="N207" s="11">
        <f>Variables!$B$9-AC207</f>
        <v/>
      </c>
      <c r="O207" s="12">
        <f>F207+N207</f>
        <v/>
      </c>
      <c r="P207" s="12">
        <f>MAX(0,C207+N207)</f>
        <v/>
      </c>
      <c r="Q207" s="12">
        <f>D207+MIN(0,C207+N207)</f>
        <v/>
      </c>
      <c r="R207">
        <f>IF(AA207&gt;Variables!$B$18,"Self-funder",IF(AA207&gt;Variables!$B$19,"Tariff band - council contributing","Council pays standard rate"))</f>
        <v/>
      </c>
      <c r="S207" s="12">
        <f>Variables!$B$18</f>
        <v/>
      </c>
      <c r="T207" s="12">
        <f>Variables!$B$19</f>
        <v/>
      </c>
      <c r="U207">
        <f>AA207&lt;=Variables!$B$18</f>
        <v/>
      </c>
      <c r="V207">
        <f>AA207&lt;=Variables!$B$19</f>
        <v/>
      </c>
      <c r="W207">
        <f>P207&lt;=0</f>
        <v/>
      </c>
      <c r="X207" s="12">
        <f>Variables!$B$28</f>
        <v/>
      </c>
      <c r="Y207">
        <f>AB207&lt;=Variables!$B$28</f>
        <v/>
      </c>
      <c r="Z207">
        <f>AB207&lt;=Variables!$B$18</f>
        <v/>
      </c>
      <c r="AA207" s="12">
        <f>AB206</f>
        <v/>
      </c>
      <c r="AB207" s="12">
        <f>AA207+Variables!$B$9-M207</f>
        <v/>
      </c>
      <c r="AC207" s="11">
        <f>IF(MOD(A207-1,Variables!$B$30)=0,Variables!$B$30*M207,0)</f>
        <v/>
      </c>
      <c r="AD207" s="12">
        <f>IF(A207=MATCH(TRUE,$Y$2:$Y$261,0),MAX($AB$2:$AB$261),IF(A207=MATCH(TRUE,$Y$2:$Y$261,0)-1,0,NA()))</f>
        <v/>
      </c>
      <c r="AE207" s="12">
        <f>IF(A207=MATCH(TRUE,$Z$2:$Z$261,0),MAX($AB$2:$AB$261),IF(A207=MATCH(TRUE,$Z$2:$Z$261,0)-1,0,NA()))</f>
        <v/>
      </c>
    </row>
    <row r="208">
      <c r="A208" t="n">
        <v>207</v>
      </c>
      <c r="B208" s="14">
        <f>Variables!$B$24+(A208-1)*7</f>
        <v/>
      </c>
      <c r="C208" s="12">
        <f>P207</f>
        <v/>
      </c>
      <c r="D208" s="12">
        <f>Q207</f>
        <v/>
      </c>
      <c r="E208" s="12">
        <f>C208+IF(A208&gt;Variables!$B$25,D208,0)</f>
        <v/>
      </c>
      <c r="F208" s="12">
        <f>C208+D208</f>
        <v/>
      </c>
      <c r="G208" s="11">
        <f>IF(A208&gt;Variables!$B$22,Variables!$B$12,0)</f>
        <v/>
      </c>
      <c r="H208" s="11">
        <f>IF(AND(A208&gt;Variables!$B$22,Variables!$B$14="Yes"),Variables!$B$13,0)</f>
        <v/>
      </c>
      <c r="I208" s="11">
        <f>IF(AA208&gt;Variables!$B$18,0,IF(AA208&gt;Variables!$B$19,CEILING((AA208-Variables!$B$19)/Variables!$B$21,1)*Variables!$B$20,0))</f>
        <v/>
      </c>
      <c r="J208" s="11">
        <f>IF(AA208&lt;=Variables!$B$18,MIN(Variables!$B$9-Variables!$B$8+I208,Variables!$B$26),0)</f>
        <v/>
      </c>
      <c r="K208" s="11">
        <f>IF(AA208&lt;=Variables!$B$18,Variables!$B$27,0)</f>
        <v/>
      </c>
      <c r="L208" s="11">
        <f>IF(AA208&gt;Variables!$B$18,G208+H208,Variables!$B$26-J208)</f>
        <v/>
      </c>
      <c r="M208" s="11">
        <f>IF(AA208&gt;Variables!$B$18,Variables!$B$2-G208-H208,J208+K208)</f>
        <v/>
      </c>
      <c r="N208" s="11">
        <f>Variables!$B$9-AC208</f>
        <v/>
      </c>
      <c r="O208" s="12">
        <f>F208+N208</f>
        <v/>
      </c>
      <c r="P208" s="12">
        <f>MAX(0,C208+N208)</f>
        <v/>
      </c>
      <c r="Q208" s="12">
        <f>D208+MIN(0,C208+N208)</f>
        <v/>
      </c>
      <c r="R208">
        <f>IF(AA208&gt;Variables!$B$18,"Self-funder",IF(AA208&gt;Variables!$B$19,"Tariff band - council contributing","Council pays standard rate"))</f>
        <v/>
      </c>
      <c r="S208" s="12">
        <f>Variables!$B$18</f>
        <v/>
      </c>
      <c r="T208" s="12">
        <f>Variables!$B$19</f>
        <v/>
      </c>
      <c r="U208">
        <f>AA208&lt;=Variables!$B$18</f>
        <v/>
      </c>
      <c r="V208">
        <f>AA208&lt;=Variables!$B$19</f>
        <v/>
      </c>
      <c r="W208">
        <f>P208&lt;=0</f>
        <v/>
      </c>
      <c r="X208" s="12">
        <f>Variables!$B$28</f>
        <v/>
      </c>
      <c r="Y208">
        <f>AB208&lt;=Variables!$B$28</f>
        <v/>
      </c>
      <c r="Z208">
        <f>AB208&lt;=Variables!$B$18</f>
        <v/>
      </c>
      <c r="AA208" s="12">
        <f>AB207</f>
        <v/>
      </c>
      <c r="AB208" s="12">
        <f>AA208+Variables!$B$9-M208</f>
        <v/>
      </c>
      <c r="AC208" s="11">
        <f>IF(MOD(A208-1,Variables!$B$30)=0,Variables!$B$30*M208,0)</f>
        <v/>
      </c>
      <c r="AD208" s="12">
        <f>IF(A208=MATCH(TRUE,$Y$2:$Y$261,0),MAX($AB$2:$AB$261),IF(A208=MATCH(TRUE,$Y$2:$Y$261,0)-1,0,NA()))</f>
        <v/>
      </c>
      <c r="AE208" s="12">
        <f>IF(A208=MATCH(TRUE,$Z$2:$Z$261,0),MAX($AB$2:$AB$261),IF(A208=MATCH(TRUE,$Z$2:$Z$261,0)-1,0,NA()))</f>
        <v/>
      </c>
    </row>
    <row r="209">
      <c r="A209" t="n">
        <v>208</v>
      </c>
      <c r="B209" s="14">
        <f>Variables!$B$24+(A209-1)*7</f>
        <v/>
      </c>
      <c r="C209" s="12">
        <f>P208</f>
        <v/>
      </c>
      <c r="D209" s="12">
        <f>Q208</f>
        <v/>
      </c>
      <c r="E209" s="12">
        <f>C209+IF(A209&gt;Variables!$B$25,D209,0)</f>
        <v/>
      </c>
      <c r="F209" s="12">
        <f>C209+D209</f>
        <v/>
      </c>
      <c r="G209" s="11">
        <f>IF(A209&gt;Variables!$B$22,Variables!$B$12,0)</f>
        <v/>
      </c>
      <c r="H209" s="11">
        <f>IF(AND(A209&gt;Variables!$B$22,Variables!$B$14="Yes"),Variables!$B$13,0)</f>
        <v/>
      </c>
      <c r="I209" s="11">
        <f>IF(AA209&gt;Variables!$B$18,0,IF(AA209&gt;Variables!$B$19,CEILING((AA209-Variables!$B$19)/Variables!$B$21,1)*Variables!$B$20,0))</f>
        <v/>
      </c>
      <c r="J209" s="11">
        <f>IF(AA209&lt;=Variables!$B$18,MIN(Variables!$B$9-Variables!$B$8+I209,Variables!$B$26),0)</f>
        <v/>
      </c>
      <c r="K209" s="11">
        <f>IF(AA209&lt;=Variables!$B$18,Variables!$B$27,0)</f>
        <v/>
      </c>
      <c r="L209" s="11">
        <f>IF(AA209&gt;Variables!$B$18,G209+H209,Variables!$B$26-J209)</f>
        <v/>
      </c>
      <c r="M209" s="11">
        <f>IF(AA209&gt;Variables!$B$18,Variables!$B$2-G209-H209,J209+K209)</f>
        <v/>
      </c>
      <c r="N209" s="11">
        <f>Variables!$B$9-AC209</f>
        <v/>
      </c>
      <c r="O209" s="12">
        <f>F209+N209</f>
        <v/>
      </c>
      <c r="P209" s="12">
        <f>MAX(0,C209+N209)</f>
        <v/>
      </c>
      <c r="Q209" s="12">
        <f>D209+MIN(0,C209+N209)</f>
        <v/>
      </c>
      <c r="R209">
        <f>IF(AA209&gt;Variables!$B$18,"Self-funder",IF(AA209&gt;Variables!$B$19,"Tariff band - council contributing","Council pays standard rate"))</f>
        <v/>
      </c>
      <c r="S209" s="12">
        <f>Variables!$B$18</f>
        <v/>
      </c>
      <c r="T209" s="12">
        <f>Variables!$B$19</f>
        <v/>
      </c>
      <c r="U209">
        <f>AA209&lt;=Variables!$B$18</f>
        <v/>
      </c>
      <c r="V209">
        <f>AA209&lt;=Variables!$B$19</f>
        <v/>
      </c>
      <c r="W209">
        <f>P209&lt;=0</f>
        <v/>
      </c>
      <c r="X209" s="12">
        <f>Variables!$B$28</f>
        <v/>
      </c>
      <c r="Y209">
        <f>AB209&lt;=Variables!$B$28</f>
        <v/>
      </c>
      <c r="Z209">
        <f>AB209&lt;=Variables!$B$18</f>
        <v/>
      </c>
      <c r="AA209" s="12">
        <f>AB208</f>
        <v/>
      </c>
      <c r="AB209" s="12">
        <f>AA209+Variables!$B$9-M209</f>
        <v/>
      </c>
      <c r="AC209" s="11">
        <f>IF(MOD(A209-1,Variables!$B$30)=0,Variables!$B$30*M209,0)</f>
        <v/>
      </c>
      <c r="AD209" s="12">
        <f>IF(A209=MATCH(TRUE,$Y$2:$Y$261,0),MAX($AB$2:$AB$261),IF(A209=MATCH(TRUE,$Y$2:$Y$261,0)-1,0,NA()))</f>
        <v/>
      </c>
      <c r="AE209" s="12">
        <f>IF(A209=MATCH(TRUE,$Z$2:$Z$261,0),MAX($AB$2:$AB$261),IF(A209=MATCH(TRUE,$Z$2:$Z$261,0)-1,0,NA()))</f>
        <v/>
      </c>
    </row>
    <row r="210">
      <c r="A210" t="n">
        <v>209</v>
      </c>
      <c r="B210" s="14">
        <f>Variables!$B$24+(A210-1)*7</f>
        <v/>
      </c>
      <c r="C210" s="12">
        <f>P209</f>
        <v/>
      </c>
      <c r="D210" s="12">
        <f>Q209</f>
        <v/>
      </c>
      <c r="E210" s="12">
        <f>C210+IF(A210&gt;Variables!$B$25,D210,0)</f>
        <v/>
      </c>
      <c r="F210" s="12">
        <f>C210+D210</f>
        <v/>
      </c>
      <c r="G210" s="11">
        <f>IF(A210&gt;Variables!$B$22,Variables!$B$12,0)</f>
        <v/>
      </c>
      <c r="H210" s="11">
        <f>IF(AND(A210&gt;Variables!$B$22,Variables!$B$14="Yes"),Variables!$B$13,0)</f>
        <v/>
      </c>
      <c r="I210" s="11">
        <f>IF(AA210&gt;Variables!$B$18,0,IF(AA210&gt;Variables!$B$19,CEILING((AA210-Variables!$B$19)/Variables!$B$21,1)*Variables!$B$20,0))</f>
        <v/>
      </c>
      <c r="J210" s="11">
        <f>IF(AA210&lt;=Variables!$B$18,MIN(Variables!$B$9-Variables!$B$8+I210,Variables!$B$26),0)</f>
        <v/>
      </c>
      <c r="K210" s="11">
        <f>IF(AA210&lt;=Variables!$B$18,Variables!$B$27,0)</f>
        <v/>
      </c>
      <c r="L210" s="11">
        <f>IF(AA210&gt;Variables!$B$18,G210+H210,Variables!$B$26-J210)</f>
        <v/>
      </c>
      <c r="M210" s="11">
        <f>IF(AA210&gt;Variables!$B$18,Variables!$B$2-G210-H210,J210+K210)</f>
        <v/>
      </c>
      <c r="N210" s="11">
        <f>Variables!$B$9-AC210</f>
        <v/>
      </c>
      <c r="O210" s="12">
        <f>F210+N210</f>
        <v/>
      </c>
      <c r="P210" s="12">
        <f>MAX(0,C210+N210)</f>
        <v/>
      </c>
      <c r="Q210" s="12">
        <f>D210+MIN(0,C210+N210)</f>
        <v/>
      </c>
      <c r="R210">
        <f>IF(AA210&gt;Variables!$B$18,"Self-funder",IF(AA210&gt;Variables!$B$19,"Tariff band - council contributing","Council pays standard rate"))</f>
        <v/>
      </c>
      <c r="S210" s="12">
        <f>Variables!$B$18</f>
        <v/>
      </c>
      <c r="T210" s="12">
        <f>Variables!$B$19</f>
        <v/>
      </c>
      <c r="U210">
        <f>AA210&lt;=Variables!$B$18</f>
        <v/>
      </c>
      <c r="V210">
        <f>AA210&lt;=Variables!$B$19</f>
        <v/>
      </c>
      <c r="W210">
        <f>P210&lt;=0</f>
        <v/>
      </c>
      <c r="X210" s="12">
        <f>Variables!$B$28</f>
        <v/>
      </c>
      <c r="Y210">
        <f>AB210&lt;=Variables!$B$28</f>
        <v/>
      </c>
      <c r="Z210">
        <f>AB210&lt;=Variables!$B$18</f>
        <v/>
      </c>
      <c r="AA210" s="12">
        <f>AB209</f>
        <v/>
      </c>
      <c r="AB210" s="12">
        <f>AA210+Variables!$B$9-M210</f>
        <v/>
      </c>
      <c r="AC210" s="11">
        <f>IF(MOD(A210-1,Variables!$B$30)=0,Variables!$B$30*M210,0)</f>
        <v/>
      </c>
      <c r="AD210" s="12">
        <f>IF(A210=MATCH(TRUE,$Y$2:$Y$261,0),MAX($AB$2:$AB$261),IF(A210=MATCH(TRUE,$Y$2:$Y$261,0)-1,0,NA()))</f>
        <v/>
      </c>
      <c r="AE210" s="12">
        <f>IF(A210=MATCH(TRUE,$Z$2:$Z$261,0),MAX($AB$2:$AB$261),IF(A210=MATCH(TRUE,$Z$2:$Z$261,0)-1,0,NA()))</f>
        <v/>
      </c>
    </row>
    <row r="211">
      <c r="A211" t="n">
        <v>210</v>
      </c>
      <c r="B211" s="14">
        <f>Variables!$B$24+(A211-1)*7</f>
        <v/>
      </c>
      <c r="C211" s="12">
        <f>P210</f>
        <v/>
      </c>
      <c r="D211" s="12">
        <f>Q210</f>
        <v/>
      </c>
      <c r="E211" s="12">
        <f>C211+IF(A211&gt;Variables!$B$25,D211,0)</f>
        <v/>
      </c>
      <c r="F211" s="12">
        <f>C211+D211</f>
        <v/>
      </c>
      <c r="G211" s="11">
        <f>IF(A211&gt;Variables!$B$22,Variables!$B$12,0)</f>
        <v/>
      </c>
      <c r="H211" s="11">
        <f>IF(AND(A211&gt;Variables!$B$22,Variables!$B$14="Yes"),Variables!$B$13,0)</f>
        <v/>
      </c>
      <c r="I211" s="11">
        <f>IF(AA211&gt;Variables!$B$18,0,IF(AA211&gt;Variables!$B$19,CEILING((AA211-Variables!$B$19)/Variables!$B$21,1)*Variables!$B$20,0))</f>
        <v/>
      </c>
      <c r="J211" s="11">
        <f>IF(AA211&lt;=Variables!$B$18,MIN(Variables!$B$9-Variables!$B$8+I211,Variables!$B$26),0)</f>
        <v/>
      </c>
      <c r="K211" s="11">
        <f>IF(AA211&lt;=Variables!$B$18,Variables!$B$27,0)</f>
        <v/>
      </c>
      <c r="L211" s="11">
        <f>IF(AA211&gt;Variables!$B$18,G211+H211,Variables!$B$26-J211)</f>
        <v/>
      </c>
      <c r="M211" s="11">
        <f>IF(AA211&gt;Variables!$B$18,Variables!$B$2-G211-H211,J211+K211)</f>
        <v/>
      </c>
      <c r="N211" s="11">
        <f>Variables!$B$9-AC211</f>
        <v/>
      </c>
      <c r="O211" s="12">
        <f>F211+N211</f>
        <v/>
      </c>
      <c r="P211" s="12">
        <f>MAX(0,C211+N211)</f>
        <v/>
      </c>
      <c r="Q211" s="12">
        <f>D211+MIN(0,C211+N211)</f>
        <v/>
      </c>
      <c r="R211">
        <f>IF(AA211&gt;Variables!$B$18,"Self-funder",IF(AA211&gt;Variables!$B$19,"Tariff band - council contributing","Council pays standard rate"))</f>
        <v/>
      </c>
      <c r="S211" s="12">
        <f>Variables!$B$18</f>
        <v/>
      </c>
      <c r="T211" s="12">
        <f>Variables!$B$19</f>
        <v/>
      </c>
      <c r="U211">
        <f>AA211&lt;=Variables!$B$18</f>
        <v/>
      </c>
      <c r="V211">
        <f>AA211&lt;=Variables!$B$19</f>
        <v/>
      </c>
      <c r="W211">
        <f>P211&lt;=0</f>
        <v/>
      </c>
      <c r="X211" s="12">
        <f>Variables!$B$28</f>
        <v/>
      </c>
      <c r="Y211">
        <f>AB211&lt;=Variables!$B$28</f>
        <v/>
      </c>
      <c r="Z211">
        <f>AB211&lt;=Variables!$B$18</f>
        <v/>
      </c>
      <c r="AA211" s="12">
        <f>AB210</f>
        <v/>
      </c>
      <c r="AB211" s="12">
        <f>AA211+Variables!$B$9-M211</f>
        <v/>
      </c>
      <c r="AC211" s="11">
        <f>IF(MOD(A211-1,Variables!$B$30)=0,Variables!$B$30*M211,0)</f>
        <v/>
      </c>
      <c r="AD211" s="12">
        <f>IF(A211=MATCH(TRUE,$Y$2:$Y$261,0),MAX($AB$2:$AB$261),IF(A211=MATCH(TRUE,$Y$2:$Y$261,0)-1,0,NA()))</f>
        <v/>
      </c>
      <c r="AE211" s="12">
        <f>IF(A211=MATCH(TRUE,$Z$2:$Z$261,0),MAX($AB$2:$AB$261),IF(A211=MATCH(TRUE,$Z$2:$Z$261,0)-1,0,NA()))</f>
        <v/>
      </c>
    </row>
    <row r="212">
      <c r="A212" t="n">
        <v>211</v>
      </c>
      <c r="B212" s="14">
        <f>Variables!$B$24+(A212-1)*7</f>
        <v/>
      </c>
      <c r="C212" s="12">
        <f>P211</f>
        <v/>
      </c>
      <c r="D212" s="12">
        <f>Q211</f>
        <v/>
      </c>
      <c r="E212" s="12">
        <f>C212+IF(A212&gt;Variables!$B$25,D212,0)</f>
        <v/>
      </c>
      <c r="F212" s="12">
        <f>C212+D212</f>
        <v/>
      </c>
      <c r="G212" s="11">
        <f>IF(A212&gt;Variables!$B$22,Variables!$B$12,0)</f>
        <v/>
      </c>
      <c r="H212" s="11">
        <f>IF(AND(A212&gt;Variables!$B$22,Variables!$B$14="Yes"),Variables!$B$13,0)</f>
        <v/>
      </c>
      <c r="I212" s="11">
        <f>IF(AA212&gt;Variables!$B$18,0,IF(AA212&gt;Variables!$B$19,CEILING((AA212-Variables!$B$19)/Variables!$B$21,1)*Variables!$B$20,0))</f>
        <v/>
      </c>
      <c r="J212" s="11">
        <f>IF(AA212&lt;=Variables!$B$18,MIN(Variables!$B$9-Variables!$B$8+I212,Variables!$B$26),0)</f>
        <v/>
      </c>
      <c r="K212" s="11">
        <f>IF(AA212&lt;=Variables!$B$18,Variables!$B$27,0)</f>
        <v/>
      </c>
      <c r="L212" s="11">
        <f>IF(AA212&gt;Variables!$B$18,G212+H212,Variables!$B$26-J212)</f>
        <v/>
      </c>
      <c r="M212" s="11">
        <f>IF(AA212&gt;Variables!$B$18,Variables!$B$2-G212-H212,J212+K212)</f>
        <v/>
      </c>
      <c r="N212" s="11">
        <f>Variables!$B$9-AC212</f>
        <v/>
      </c>
      <c r="O212" s="12">
        <f>F212+N212</f>
        <v/>
      </c>
      <c r="P212" s="12">
        <f>MAX(0,C212+N212)</f>
        <v/>
      </c>
      <c r="Q212" s="12">
        <f>D212+MIN(0,C212+N212)</f>
        <v/>
      </c>
      <c r="R212">
        <f>IF(AA212&gt;Variables!$B$18,"Self-funder",IF(AA212&gt;Variables!$B$19,"Tariff band - council contributing","Council pays standard rate"))</f>
        <v/>
      </c>
      <c r="S212" s="12">
        <f>Variables!$B$18</f>
        <v/>
      </c>
      <c r="T212" s="12">
        <f>Variables!$B$19</f>
        <v/>
      </c>
      <c r="U212">
        <f>AA212&lt;=Variables!$B$18</f>
        <v/>
      </c>
      <c r="V212">
        <f>AA212&lt;=Variables!$B$19</f>
        <v/>
      </c>
      <c r="W212">
        <f>P212&lt;=0</f>
        <v/>
      </c>
      <c r="X212" s="12">
        <f>Variables!$B$28</f>
        <v/>
      </c>
      <c r="Y212">
        <f>AB212&lt;=Variables!$B$28</f>
        <v/>
      </c>
      <c r="Z212">
        <f>AB212&lt;=Variables!$B$18</f>
        <v/>
      </c>
      <c r="AA212" s="12">
        <f>AB211</f>
        <v/>
      </c>
      <c r="AB212" s="12">
        <f>AA212+Variables!$B$9-M212</f>
        <v/>
      </c>
      <c r="AC212" s="11">
        <f>IF(MOD(A212-1,Variables!$B$30)=0,Variables!$B$30*M212,0)</f>
        <v/>
      </c>
      <c r="AD212" s="12">
        <f>IF(A212=MATCH(TRUE,$Y$2:$Y$261,0),MAX($AB$2:$AB$261),IF(A212=MATCH(TRUE,$Y$2:$Y$261,0)-1,0,NA()))</f>
        <v/>
      </c>
      <c r="AE212" s="12">
        <f>IF(A212=MATCH(TRUE,$Z$2:$Z$261,0),MAX($AB$2:$AB$261),IF(A212=MATCH(TRUE,$Z$2:$Z$261,0)-1,0,NA()))</f>
        <v/>
      </c>
    </row>
    <row r="213">
      <c r="A213" t="n">
        <v>212</v>
      </c>
      <c r="B213" s="14">
        <f>Variables!$B$24+(A213-1)*7</f>
        <v/>
      </c>
      <c r="C213" s="12">
        <f>P212</f>
        <v/>
      </c>
      <c r="D213" s="12">
        <f>Q212</f>
        <v/>
      </c>
      <c r="E213" s="12">
        <f>C213+IF(A213&gt;Variables!$B$25,D213,0)</f>
        <v/>
      </c>
      <c r="F213" s="12">
        <f>C213+D213</f>
        <v/>
      </c>
      <c r="G213" s="11">
        <f>IF(A213&gt;Variables!$B$22,Variables!$B$12,0)</f>
        <v/>
      </c>
      <c r="H213" s="11">
        <f>IF(AND(A213&gt;Variables!$B$22,Variables!$B$14="Yes"),Variables!$B$13,0)</f>
        <v/>
      </c>
      <c r="I213" s="11">
        <f>IF(AA213&gt;Variables!$B$18,0,IF(AA213&gt;Variables!$B$19,CEILING((AA213-Variables!$B$19)/Variables!$B$21,1)*Variables!$B$20,0))</f>
        <v/>
      </c>
      <c r="J213" s="11">
        <f>IF(AA213&lt;=Variables!$B$18,MIN(Variables!$B$9-Variables!$B$8+I213,Variables!$B$26),0)</f>
        <v/>
      </c>
      <c r="K213" s="11">
        <f>IF(AA213&lt;=Variables!$B$18,Variables!$B$27,0)</f>
        <v/>
      </c>
      <c r="L213" s="11">
        <f>IF(AA213&gt;Variables!$B$18,G213+H213,Variables!$B$26-J213)</f>
        <v/>
      </c>
      <c r="M213" s="11">
        <f>IF(AA213&gt;Variables!$B$18,Variables!$B$2-G213-H213,J213+K213)</f>
        <v/>
      </c>
      <c r="N213" s="11">
        <f>Variables!$B$9-AC213</f>
        <v/>
      </c>
      <c r="O213" s="12">
        <f>F213+N213</f>
        <v/>
      </c>
      <c r="P213" s="12">
        <f>MAX(0,C213+N213)</f>
        <v/>
      </c>
      <c r="Q213" s="12">
        <f>D213+MIN(0,C213+N213)</f>
        <v/>
      </c>
      <c r="R213">
        <f>IF(AA213&gt;Variables!$B$18,"Self-funder",IF(AA213&gt;Variables!$B$19,"Tariff band - council contributing","Council pays standard rate"))</f>
        <v/>
      </c>
      <c r="S213" s="12">
        <f>Variables!$B$18</f>
        <v/>
      </c>
      <c r="T213" s="12">
        <f>Variables!$B$19</f>
        <v/>
      </c>
      <c r="U213">
        <f>AA213&lt;=Variables!$B$18</f>
        <v/>
      </c>
      <c r="V213">
        <f>AA213&lt;=Variables!$B$19</f>
        <v/>
      </c>
      <c r="W213">
        <f>P213&lt;=0</f>
        <v/>
      </c>
      <c r="X213" s="12">
        <f>Variables!$B$28</f>
        <v/>
      </c>
      <c r="Y213">
        <f>AB213&lt;=Variables!$B$28</f>
        <v/>
      </c>
      <c r="Z213">
        <f>AB213&lt;=Variables!$B$18</f>
        <v/>
      </c>
      <c r="AA213" s="12">
        <f>AB212</f>
        <v/>
      </c>
      <c r="AB213" s="12">
        <f>AA213+Variables!$B$9-M213</f>
        <v/>
      </c>
      <c r="AC213" s="11">
        <f>IF(MOD(A213-1,Variables!$B$30)=0,Variables!$B$30*M213,0)</f>
        <v/>
      </c>
      <c r="AD213" s="12">
        <f>IF(A213=MATCH(TRUE,$Y$2:$Y$261,0),MAX($AB$2:$AB$261),IF(A213=MATCH(TRUE,$Y$2:$Y$261,0)-1,0,NA()))</f>
        <v/>
      </c>
      <c r="AE213" s="12">
        <f>IF(A213=MATCH(TRUE,$Z$2:$Z$261,0),MAX($AB$2:$AB$261),IF(A213=MATCH(TRUE,$Z$2:$Z$261,0)-1,0,NA()))</f>
        <v/>
      </c>
    </row>
    <row r="214">
      <c r="A214" t="n">
        <v>213</v>
      </c>
      <c r="B214" s="14">
        <f>Variables!$B$24+(A214-1)*7</f>
        <v/>
      </c>
      <c r="C214" s="12">
        <f>P213</f>
        <v/>
      </c>
      <c r="D214" s="12">
        <f>Q213</f>
        <v/>
      </c>
      <c r="E214" s="12">
        <f>C214+IF(A214&gt;Variables!$B$25,D214,0)</f>
        <v/>
      </c>
      <c r="F214" s="12">
        <f>C214+D214</f>
        <v/>
      </c>
      <c r="G214" s="11">
        <f>IF(A214&gt;Variables!$B$22,Variables!$B$12,0)</f>
        <v/>
      </c>
      <c r="H214" s="11">
        <f>IF(AND(A214&gt;Variables!$B$22,Variables!$B$14="Yes"),Variables!$B$13,0)</f>
        <v/>
      </c>
      <c r="I214" s="11">
        <f>IF(AA214&gt;Variables!$B$18,0,IF(AA214&gt;Variables!$B$19,CEILING((AA214-Variables!$B$19)/Variables!$B$21,1)*Variables!$B$20,0))</f>
        <v/>
      </c>
      <c r="J214" s="11">
        <f>IF(AA214&lt;=Variables!$B$18,MIN(Variables!$B$9-Variables!$B$8+I214,Variables!$B$26),0)</f>
        <v/>
      </c>
      <c r="K214" s="11">
        <f>IF(AA214&lt;=Variables!$B$18,Variables!$B$27,0)</f>
        <v/>
      </c>
      <c r="L214" s="11">
        <f>IF(AA214&gt;Variables!$B$18,G214+H214,Variables!$B$26-J214)</f>
        <v/>
      </c>
      <c r="M214" s="11">
        <f>IF(AA214&gt;Variables!$B$18,Variables!$B$2-G214-H214,J214+K214)</f>
        <v/>
      </c>
      <c r="N214" s="11">
        <f>Variables!$B$9-AC214</f>
        <v/>
      </c>
      <c r="O214" s="12">
        <f>F214+N214</f>
        <v/>
      </c>
      <c r="P214" s="12">
        <f>MAX(0,C214+N214)</f>
        <v/>
      </c>
      <c r="Q214" s="12">
        <f>D214+MIN(0,C214+N214)</f>
        <v/>
      </c>
      <c r="R214">
        <f>IF(AA214&gt;Variables!$B$18,"Self-funder",IF(AA214&gt;Variables!$B$19,"Tariff band - council contributing","Council pays standard rate"))</f>
        <v/>
      </c>
      <c r="S214" s="12">
        <f>Variables!$B$18</f>
        <v/>
      </c>
      <c r="T214" s="12">
        <f>Variables!$B$19</f>
        <v/>
      </c>
      <c r="U214">
        <f>AA214&lt;=Variables!$B$18</f>
        <v/>
      </c>
      <c r="V214">
        <f>AA214&lt;=Variables!$B$19</f>
        <v/>
      </c>
      <c r="W214">
        <f>P214&lt;=0</f>
        <v/>
      </c>
      <c r="X214" s="12">
        <f>Variables!$B$28</f>
        <v/>
      </c>
      <c r="Y214">
        <f>AB214&lt;=Variables!$B$28</f>
        <v/>
      </c>
      <c r="Z214">
        <f>AB214&lt;=Variables!$B$18</f>
        <v/>
      </c>
      <c r="AA214" s="12">
        <f>AB213</f>
        <v/>
      </c>
      <c r="AB214" s="12">
        <f>AA214+Variables!$B$9-M214</f>
        <v/>
      </c>
      <c r="AC214" s="11">
        <f>IF(MOD(A214-1,Variables!$B$30)=0,Variables!$B$30*M214,0)</f>
        <v/>
      </c>
      <c r="AD214" s="12">
        <f>IF(A214=MATCH(TRUE,$Y$2:$Y$261,0),MAX($AB$2:$AB$261),IF(A214=MATCH(TRUE,$Y$2:$Y$261,0)-1,0,NA()))</f>
        <v/>
      </c>
      <c r="AE214" s="12">
        <f>IF(A214=MATCH(TRUE,$Z$2:$Z$261,0),MAX($AB$2:$AB$261),IF(A214=MATCH(TRUE,$Z$2:$Z$261,0)-1,0,NA()))</f>
        <v/>
      </c>
    </row>
    <row r="215">
      <c r="A215" t="n">
        <v>214</v>
      </c>
      <c r="B215" s="14">
        <f>Variables!$B$24+(A215-1)*7</f>
        <v/>
      </c>
      <c r="C215" s="12">
        <f>P214</f>
        <v/>
      </c>
      <c r="D215" s="12">
        <f>Q214</f>
        <v/>
      </c>
      <c r="E215" s="12">
        <f>C215+IF(A215&gt;Variables!$B$25,D215,0)</f>
        <v/>
      </c>
      <c r="F215" s="12">
        <f>C215+D215</f>
        <v/>
      </c>
      <c r="G215" s="11">
        <f>IF(A215&gt;Variables!$B$22,Variables!$B$12,0)</f>
        <v/>
      </c>
      <c r="H215" s="11">
        <f>IF(AND(A215&gt;Variables!$B$22,Variables!$B$14="Yes"),Variables!$B$13,0)</f>
        <v/>
      </c>
      <c r="I215" s="11">
        <f>IF(AA215&gt;Variables!$B$18,0,IF(AA215&gt;Variables!$B$19,CEILING((AA215-Variables!$B$19)/Variables!$B$21,1)*Variables!$B$20,0))</f>
        <v/>
      </c>
      <c r="J215" s="11">
        <f>IF(AA215&lt;=Variables!$B$18,MIN(Variables!$B$9-Variables!$B$8+I215,Variables!$B$26),0)</f>
        <v/>
      </c>
      <c r="K215" s="11">
        <f>IF(AA215&lt;=Variables!$B$18,Variables!$B$27,0)</f>
        <v/>
      </c>
      <c r="L215" s="11">
        <f>IF(AA215&gt;Variables!$B$18,G215+H215,Variables!$B$26-J215)</f>
        <v/>
      </c>
      <c r="M215" s="11">
        <f>IF(AA215&gt;Variables!$B$18,Variables!$B$2-G215-H215,J215+K215)</f>
        <v/>
      </c>
      <c r="N215" s="11">
        <f>Variables!$B$9-AC215</f>
        <v/>
      </c>
      <c r="O215" s="12">
        <f>F215+N215</f>
        <v/>
      </c>
      <c r="P215" s="12">
        <f>MAX(0,C215+N215)</f>
        <v/>
      </c>
      <c r="Q215" s="12">
        <f>D215+MIN(0,C215+N215)</f>
        <v/>
      </c>
      <c r="R215">
        <f>IF(AA215&gt;Variables!$B$18,"Self-funder",IF(AA215&gt;Variables!$B$19,"Tariff band - council contributing","Council pays standard rate"))</f>
        <v/>
      </c>
      <c r="S215" s="12">
        <f>Variables!$B$18</f>
        <v/>
      </c>
      <c r="T215" s="12">
        <f>Variables!$B$19</f>
        <v/>
      </c>
      <c r="U215">
        <f>AA215&lt;=Variables!$B$18</f>
        <v/>
      </c>
      <c r="V215">
        <f>AA215&lt;=Variables!$B$19</f>
        <v/>
      </c>
      <c r="W215">
        <f>P215&lt;=0</f>
        <v/>
      </c>
      <c r="X215" s="12">
        <f>Variables!$B$28</f>
        <v/>
      </c>
      <c r="Y215">
        <f>AB215&lt;=Variables!$B$28</f>
        <v/>
      </c>
      <c r="Z215">
        <f>AB215&lt;=Variables!$B$18</f>
        <v/>
      </c>
      <c r="AA215" s="12">
        <f>AB214</f>
        <v/>
      </c>
      <c r="AB215" s="12">
        <f>AA215+Variables!$B$9-M215</f>
        <v/>
      </c>
      <c r="AC215" s="11">
        <f>IF(MOD(A215-1,Variables!$B$30)=0,Variables!$B$30*M215,0)</f>
        <v/>
      </c>
      <c r="AD215" s="12">
        <f>IF(A215=MATCH(TRUE,$Y$2:$Y$261,0),MAX($AB$2:$AB$261),IF(A215=MATCH(TRUE,$Y$2:$Y$261,0)-1,0,NA()))</f>
        <v/>
      </c>
      <c r="AE215" s="12">
        <f>IF(A215=MATCH(TRUE,$Z$2:$Z$261,0),MAX($AB$2:$AB$261),IF(A215=MATCH(TRUE,$Z$2:$Z$261,0)-1,0,NA()))</f>
        <v/>
      </c>
    </row>
    <row r="216">
      <c r="A216" t="n">
        <v>215</v>
      </c>
      <c r="B216" s="14">
        <f>Variables!$B$24+(A216-1)*7</f>
        <v/>
      </c>
      <c r="C216" s="12">
        <f>P215</f>
        <v/>
      </c>
      <c r="D216" s="12">
        <f>Q215</f>
        <v/>
      </c>
      <c r="E216" s="12">
        <f>C216+IF(A216&gt;Variables!$B$25,D216,0)</f>
        <v/>
      </c>
      <c r="F216" s="12">
        <f>C216+D216</f>
        <v/>
      </c>
      <c r="G216" s="11">
        <f>IF(A216&gt;Variables!$B$22,Variables!$B$12,0)</f>
        <v/>
      </c>
      <c r="H216" s="11">
        <f>IF(AND(A216&gt;Variables!$B$22,Variables!$B$14="Yes"),Variables!$B$13,0)</f>
        <v/>
      </c>
      <c r="I216" s="11">
        <f>IF(AA216&gt;Variables!$B$18,0,IF(AA216&gt;Variables!$B$19,CEILING((AA216-Variables!$B$19)/Variables!$B$21,1)*Variables!$B$20,0))</f>
        <v/>
      </c>
      <c r="J216" s="11">
        <f>IF(AA216&lt;=Variables!$B$18,MIN(Variables!$B$9-Variables!$B$8+I216,Variables!$B$26),0)</f>
        <v/>
      </c>
      <c r="K216" s="11">
        <f>IF(AA216&lt;=Variables!$B$18,Variables!$B$27,0)</f>
        <v/>
      </c>
      <c r="L216" s="11">
        <f>IF(AA216&gt;Variables!$B$18,G216+H216,Variables!$B$26-J216)</f>
        <v/>
      </c>
      <c r="M216" s="11">
        <f>IF(AA216&gt;Variables!$B$18,Variables!$B$2-G216-H216,J216+K216)</f>
        <v/>
      </c>
      <c r="N216" s="11">
        <f>Variables!$B$9-AC216</f>
        <v/>
      </c>
      <c r="O216" s="12">
        <f>F216+N216</f>
        <v/>
      </c>
      <c r="P216" s="12">
        <f>MAX(0,C216+N216)</f>
        <v/>
      </c>
      <c r="Q216" s="12">
        <f>D216+MIN(0,C216+N216)</f>
        <v/>
      </c>
      <c r="R216">
        <f>IF(AA216&gt;Variables!$B$18,"Self-funder",IF(AA216&gt;Variables!$B$19,"Tariff band - council contributing","Council pays standard rate"))</f>
        <v/>
      </c>
      <c r="S216" s="12">
        <f>Variables!$B$18</f>
        <v/>
      </c>
      <c r="T216" s="12">
        <f>Variables!$B$19</f>
        <v/>
      </c>
      <c r="U216">
        <f>AA216&lt;=Variables!$B$18</f>
        <v/>
      </c>
      <c r="V216">
        <f>AA216&lt;=Variables!$B$19</f>
        <v/>
      </c>
      <c r="W216">
        <f>P216&lt;=0</f>
        <v/>
      </c>
      <c r="X216" s="12">
        <f>Variables!$B$28</f>
        <v/>
      </c>
      <c r="Y216">
        <f>AB216&lt;=Variables!$B$28</f>
        <v/>
      </c>
      <c r="Z216">
        <f>AB216&lt;=Variables!$B$18</f>
        <v/>
      </c>
      <c r="AA216" s="12">
        <f>AB215</f>
        <v/>
      </c>
      <c r="AB216" s="12">
        <f>AA216+Variables!$B$9-M216</f>
        <v/>
      </c>
      <c r="AC216" s="11">
        <f>IF(MOD(A216-1,Variables!$B$30)=0,Variables!$B$30*M216,0)</f>
        <v/>
      </c>
      <c r="AD216" s="12">
        <f>IF(A216=MATCH(TRUE,$Y$2:$Y$261,0),MAX($AB$2:$AB$261),IF(A216=MATCH(TRUE,$Y$2:$Y$261,0)-1,0,NA()))</f>
        <v/>
      </c>
      <c r="AE216" s="12">
        <f>IF(A216=MATCH(TRUE,$Z$2:$Z$261,0),MAX($AB$2:$AB$261),IF(A216=MATCH(TRUE,$Z$2:$Z$261,0)-1,0,NA()))</f>
        <v/>
      </c>
    </row>
    <row r="217">
      <c r="A217" t="n">
        <v>216</v>
      </c>
      <c r="B217" s="14">
        <f>Variables!$B$24+(A217-1)*7</f>
        <v/>
      </c>
      <c r="C217" s="12">
        <f>P216</f>
        <v/>
      </c>
      <c r="D217" s="12">
        <f>Q216</f>
        <v/>
      </c>
      <c r="E217" s="12">
        <f>C217+IF(A217&gt;Variables!$B$25,D217,0)</f>
        <v/>
      </c>
      <c r="F217" s="12">
        <f>C217+D217</f>
        <v/>
      </c>
      <c r="G217" s="11">
        <f>IF(A217&gt;Variables!$B$22,Variables!$B$12,0)</f>
        <v/>
      </c>
      <c r="H217" s="11">
        <f>IF(AND(A217&gt;Variables!$B$22,Variables!$B$14="Yes"),Variables!$B$13,0)</f>
        <v/>
      </c>
      <c r="I217" s="11">
        <f>IF(AA217&gt;Variables!$B$18,0,IF(AA217&gt;Variables!$B$19,CEILING((AA217-Variables!$B$19)/Variables!$B$21,1)*Variables!$B$20,0))</f>
        <v/>
      </c>
      <c r="J217" s="11">
        <f>IF(AA217&lt;=Variables!$B$18,MIN(Variables!$B$9-Variables!$B$8+I217,Variables!$B$26),0)</f>
        <v/>
      </c>
      <c r="K217" s="11">
        <f>IF(AA217&lt;=Variables!$B$18,Variables!$B$27,0)</f>
        <v/>
      </c>
      <c r="L217" s="11">
        <f>IF(AA217&gt;Variables!$B$18,G217+H217,Variables!$B$26-J217)</f>
        <v/>
      </c>
      <c r="M217" s="11">
        <f>IF(AA217&gt;Variables!$B$18,Variables!$B$2-G217-H217,J217+K217)</f>
        <v/>
      </c>
      <c r="N217" s="11">
        <f>Variables!$B$9-AC217</f>
        <v/>
      </c>
      <c r="O217" s="12">
        <f>F217+N217</f>
        <v/>
      </c>
      <c r="P217" s="12">
        <f>MAX(0,C217+N217)</f>
        <v/>
      </c>
      <c r="Q217" s="12">
        <f>D217+MIN(0,C217+N217)</f>
        <v/>
      </c>
      <c r="R217">
        <f>IF(AA217&gt;Variables!$B$18,"Self-funder",IF(AA217&gt;Variables!$B$19,"Tariff band - council contributing","Council pays standard rate"))</f>
        <v/>
      </c>
      <c r="S217" s="12">
        <f>Variables!$B$18</f>
        <v/>
      </c>
      <c r="T217" s="12">
        <f>Variables!$B$19</f>
        <v/>
      </c>
      <c r="U217">
        <f>AA217&lt;=Variables!$B$18</f>
        <v/>
      </c>
      <c r="V217">
        <f>AA217&lt;=Variables!$B$19</f>
        <v/>
      </c>
      <c r="W217">
        <f>P217&lt;=0</f>
        <v/>
      </c>
      <c r="X217" s="12">
        <f>Variables!$B$28</f>
        <v/>
      </c>
      <c r="Y217">
        <f>AB217&lt;=Variables!$B$28</f>
        <v/>
      </c>
      <c r="Z217">
        <f>AB217&lt;=Variables!$B$18</f>
        <v/>
      </c>
      <c r="AA217" s="12">
        <f>AB216</f>
        <v/>
      </c>
      <c r="AB217" s="12">
        <f>AA217+Variables!$B$9-M217</f>
        <v/>
      </c>
      <c r="AC217" s="11">
        <f>IF(MOD(A217-1,Variables!$B$30)=0,Variables!$B$30*M217,0)</f>
        <v/>
      </c>
      <c r="AD217" s="12">
        <f>IF(A217=MATCH(TRUE,$Y$2:$Y$261,0),MAX($AB$2:$AB$261),IF(A217=MATCH(TRUE,$Y$2:$Y$261,0)-1,0,NA()))</f>
        <v/>
      </c>
      <c r="AE217" s="12">
        <f>IF(A217=MATCH(TRUE,$Z$2:$Z$261,0),MAX($AB$2:$AB$261),IF(A217=MATCH(TRUE,$Z$2:$Z$261,0)-1,0,NA()))</f>
        <v/>
      </c>
    </row>
    <row r="218">
      <c r="A218" t="n">
        <v>217</v>
      </c>
      <c r="B218" s="14">
        <f>Variables!$B$24+(A218-1)*7</f>
        <v/>
      </c>
      <c r="C218" s="12">
        <f>P217</f>
        <v/>
      </c>
      <c r="D218" s="12">
        <f>Q217</f>
        <v/>
      </c>
      <c r="E218" s="12">
        <f>C218+IF(A218&gt;Variables!$B$25,D218,0)</f>
        <v/>
      </c>
      <c r="F218" s="12">
        <f>C218+D218</f>
        <v/>
      </c>
      <c r="G218" s="11">
        <f>IF(A218&gt;Variables!$B$22,Variables!$B$12,0)</f>
        <v/>
      </c>
      <c r="H218" s="11">
        <f>IF(AND(A218&gt;Variables!$B$22,Variables!$B$14="Yes"),Variables!$B$13,0)</f>
        <v/>
      </c>
      <c r="I218" s="11">
        <f>IF(AA218&gt;Variables!$B$18,0,IF(AA218&gt;Variables!$B$19,CEILING((AA218-Variables!$B$19)/Variables!$B$21,1)*Variables!$B$20,0))</f>
        <v/>
      </c>
      <c r="J218" s="11">
        <f>IF(AA218&lt;=Variables!$B$18,MIN(Variables!$B$9-Variables!$B$8+I218,Variables!$B$26),0)</f>
        <v/>
      </c>
      <c r="K218" s="11">
        <f>IF(AA218&lt;=Variables!$B$18,Variables!$B$27,0)</f>
        <v/>
      </c>
      <c r="L218" s="11">
        <f>IF(AA218&gt;Variables!$B$18,G218+H218,Variables!$B$26-J218)</f>
        <v/>
      </c>
      <c r="M218" s="11">
        <f>IF(AA218&gt;Variables!$B$18,Variables!$B$2-G218-H218,J218+K218)</f>
        <v/>
      </c>
      <c r="N218" s="11">
        <f>Variables!$B$9-AC218</f>
        <v/>
      </c>
      <c r="O218" s="12">
        <f>F218+N218</f>
        <v/>
      </c>
      <c r="P218" s="12">
        <f>MAX(0,C218+N218)</f>
        <v/>
      </c>
      <c r="Q218" s="12">
        <f>D218+MIN(0,C218+N218)</f>
        <v/>
      </c>
      <c r="R218">
        <f>IF(AA218&gt;Variables!$B$18,"Self-funder",IF(AA218&gt;Variables!$B$19,"Tariff band - council contributing","Council pays standard rate"))</f>
        <v/>
      </c>
      <c r="S218" s="12">
        <f>Variables!$B$18</f>
        <v/>
      </c>
      <c r="T218" s="12">
        <f>Variables!$B$19</f>
        <v/>
      </c>
      <c r="U218">
        <f>AA218&lt;=Variables!$B$18</f>
        <v/>
      </c>
      <c r="V218">
        <f>AA218&lt;=Variables!$B$19</f>
        <v/>
      </c>
      <c r="W218">
        <f>P218&lt;=0</f>
        <v/>
      </c>
      <c r="X218" s="12">
        <f>Variables!$B$28</f>
        <v/>
      </c>
      <c r="Y218">
        <f>AB218&lt;=Variables!$B$28</f>
        <v/>
      </c>
      <c r="Z218">
        <f>AB218&lt;=Variables!$B$18</f>
        <v/>
      </c>
      <c r="AA218" s="12">
        <f>AB217</f>
        <v/>
      </c>
      <c r="AB218" s="12">
        <f>AA218+Variables!$B$9-M218</f>
        <v/>
      </c>
      <c r="AC218" s="11">
        <f>IF(MOD(A218-1,Variables!$B$30)=0,Variables!$B$30*M218,0)</f>
        <v/>
      </c>
      <c r="AD218" s="12">
        <f>IF(A218=MATCH(TRUE,$Y$2:$Y$261,0),MAX($AB$2:$AB$261),IF(A218=MATCH(TRUE,$Y$2:$Y$261,0)-1,0,NA()))</f>
        <v/>
      </c>
      <c r="AE218" s="12">
        <f>IF(A218=MATCH(TRUE,$Z$2:$Z$261,0),MAX($AB$2:$AB$261),IF(A218=MATCH(TRUE,$Z$2:$Z$261,0)-1,0,NA()))</f>
        <v/>
      </c>
    </row>
    <row r="219">
      <c r="A219" t="n">
        <v>218</v>
      </c>
      <c r="B219" s="14">
        <f>Variables!$B$24+(A219-1)*7</f>
        <v/>
      </c>
      <c r="C219" s="12">
        <f>P218</f>
        <v/>
      </c>
      <c r="D219" s="12">
        <f>Q218</f>
        <v/>
      </c>
      <c r="E219" s="12">
        <f>C219+IF(A219&gt;Variables!$B$25,D219,0)</f>
        <v/>
      </c>
      <c r="F219" s="12">
        <f>C219+D219</f>
        <v/>
      </c>
      <c r="G219" s="11">
        <f>IF(A219&gt;Variables!$B$22,Variables!$B$12,0)</f>
        <v/>
      </c>
      <c r="H219" s="11">
        <f>IF(AND(A219&gt;Variables!$B$22,Variables!$B$14="Yes"),Variables!$B$13,0)</f>
        <v/>
      </c>
      <c r="I219" s="11">
        <f>IF(AA219&gt;Variables!$B$18,0,IF(AA219&gt;Variables!$B$19,CEILING((AA219-Variables!$B$19)/Variables!$B$21,1)*Variables!$B$20,0))</f>
        <v/>
      </c>
      <c r="J219" s="11">
        <f>IF(AA219&lt;=Variables!$B$18,MIN(Variables!$B$9-Variables!$B$8+I219,Variables!$B$26),0)</f>
        <v/>
      </c>
      <c r="K219" s="11">
        <f>IF(AA219&lt;=Variables!$B$18,Variables!$B$27,0)</f>
        <v/>
      </c>
      <c r="L219" s="11">
        <f>IF(AA219&gt;Variables!$B$18,G219+H219,Variables!$B$26-J219)</f>
        <v/>
      </c>
      <c r="M219" s="11">
        <f>IF(AA219&gt;Variables!$B$18,Variables!$B$2-G219-H219,J219+K219)</f>
        <v/>
      </c>
      <c r="N219" s="11">
        <f>Variables!$B$9-AC219</f>
        <v/>
      </c>
      <c r="O219" s="12">
        <f>F219+N219</f>
        <v/>
      </c>
      <c r="P219" s="12">
        <f>MAX(0,C219+N219)</f>
        <v/>
      </c>
      <c r="Q219" s="12">
        <f>D219+MIN(0,C219+N219)</f>
        <v/>
      </c>
      <c r="R219">
        <f>IF(AA219&gt;Variables!$B$18,"Self-funder",IF(AA219&gt;Variables!$B$19,"Tariff band - council contributing","Council pays standard rate"))</f>
        <v/>
      </c>
      <c r="S219" s="12">
        <f>Variables!$B$18</f>
        <v/>
      </c>
      <c r="T219" s="12">
        <f>Variables!$B$19</f>
        <v/>
      </c>
      <c r="U219">
        <f>AA219&lt;=Variables!$B$18</f>
        <v/>
      </c>
      <c r="V219">
        <f>AA219&lt;=Variables!$B$19</f>
        <v/>
      </c>
      <c r="W219">
        <f>P219&lt;=0</f>
        <v/>
      </c>
      <c r="X219" s="12">
        <f>Variables!$B$28</f>
        <v/>
      </c>
      <c r="Y219">
        <f>AB219&lt;=Variables!$B$28</f>
        <v/>
      </c>
      <c r="Z219">
        <f>AB219&lt;=Variables!$B$18</f>
        <v/>
      </c>
      <c r="AA219" s="12">
        <f>AB218</f>
        <v/>
      </c>
      <c r="AB219" s="12">
        <f>AA219+Variables!$B$9-M219</f>
        <v/>
      </c>
      <c r="AC219" s="11">
        <f>IF(MOD(A219-1,Variables!$B$30)=0,Variables!$B$30*M219,0)</f>
        <v/>
      </c>
      <c r="AD219" s="12">
        <f>IF(A219=MATCH(TRUE,$Y$2:$Y$261,0),MAX($AB$2:$AB$261),IF(A219=MATCH(TRUE,$Y$2:$Y$261,0)-1,0,NA()))</f>
        <v/>
      </c>
      <c r="AE219" s="12">
        <f>IF(A219=MATCH(TRUE,$Z$2:$Z$261,0),MAX($AB$2:$AB$261),IF(A219=MATCH(TRUE,$Z$2:$Z$261,0)-1,0,NA()))</f>
        <v/>
      </c>
    </row>
    <row r="220">
      <c r="A220" t="n">
        <v>219</v>
      </c>
      <c r="B220" s="14">
        <f>Variables!$B$24+(A220-1)*7</f>
        <v/>
      </c>
      <c r="C220" s="12">
        <f>P219</f>
        <v/>
      </c>
      <c r="D220" s="12">
        <f>Q219</f>
        <v/>
      </c>
      <c r="E220" s="12">
        <f>C220+IF(A220&gt;Variables!$B$25,D220,0)</f>
        <v/>
      </c>
      <c r="F220" s="12">
        <f>C220+D220</f>
        <v/>
      </c>
      <c r="G220" s="11">
        <f>IF(A220&gt;Variables!$B$22,Variables!$B$12,0)</f>
        <v/>
      </c>
      <c r="H220" s="11">
        <f>IF(AND(A220&gt;Variables!$B$22,Variables!$B$14="Yes"),Variables!$B$13,0)</f>
        <v/>
      </c>
      <c r="I220" s="11">
        <f>IF(AA220&gt;Variables!$B$18,0,IF(AA220&gt;Variables!$B$19,CEILING((AA220-Variables!$B$19)/Variables!$B$21,1)*Variables!$B$20,0))</f>
        <v/>
      </c>
      <c r="J220" s="11">
        <f>IF(AA220&lt;=Variables!$B$18,MIN(Variables!$B$9-Variables!$B$8+I220,Variables!$B$26),0)</f>
        <v/>
      </c>
      <c r="K220" s="11">
        <f>IF(AA220&lt;=Variables!$B$18,Variables!$B$27,0)</f>
        <v/>
      </c>
      <c r="L220" s="11">
        <f>IF(AA220&gt;Variables!$B$18,G220+H220,Variables!$B$26-J220)</f>
        <v/>
      </c>
      <c r="M220" s="11">
        <f>IF(AA220&gt;Variables!$B$18,Variables!$B$2-G220-H220,J220+K220)</f>
        <v/>
      </c>
      <c r="N220" s="11">
        <f>Variables!$B$9-AC220</f>
        <v/>
      </c>
      <c r="O220" s="12">
        <f>F220+N220</f>
        <v/>
      </c>
      <c r="P220" s="12">
        <f>MAX(0,C220+N220)</f>
        <v/>
      </c>
      <c r="Q220" s="12">
        <f>D220+MIN(0,C220+N220)</f>
        <v/>
      </c>
      <c r="R220">
        <f>IF(AA220&gt;Variables!$B$18,"Self-funder",IF(AA220&gt;Variables!$B$19,"Tariff band - council contributing","Council pays standard rate"))</f>
        <v/>
      </c>
      <c r="S220" s="12">
        <f>Variables!$B$18</f>
        <v/>
      </c>
      <c r="T220" s="12">
        <f>Variables!$B$19</f>
        <v/>
      </c>
      <c r="U220">
        <f>AA220&lt;=Variables!$B$18</f>
        <v/>
      </c>
      <c r="V220">
        <f>AA220&lt;=Variables!$B$19</f>
        <v/>
      </c>
      <c r="W220">
        <f>P220&lt;=0</f>
        <v/>
      </c>
      <c r="X220" s="12">
        <f>Variables!$B$28</f>
        <v/>
      </c>
      <c r="Y220">
        <f>AB220&lt;=Variables!$B$28</f>
        <v/>
      </c>
      <c r="Z220">
        <f>AB220&lt;=Variables!$B$18</f>
        <v/>
      </c>
      <c r="AA220" s="12">
        <f>AB219</f>
        <v/>
      </c>
      <c r="AB220" s="12">
        <f>AA220+Variables!$B$9-M220</f>
        <v/>
      </c>
      <c r="AC220" s="11">
        <f>IF(MOD(A220-1,Variables!$B$30)=0,Variables!$B$30*M220,0)</f>
        <v/>
      </c>
      <c r="AD220" s="12">
        <f>IF(A220=MATCH(TRUE,$Y$2:$Y$261,0),MAX($AB$2:$AB$261),IF(A220=MATCH(TRUE,$Y$2:$Y$261,0)-1,0,NA()))</f>
        <v/>
      </c>
      <c r="AE220" s="12">
        <f>IF(A220=MATCH(TRUE,$Z$2:$Z$261,0),MAX($AB$2:$AB$261),IF(A220=MATCH(TRUE,$Z$2:$Z$261,0)-1,0,NA()))</f>
        <v/>
      </c>
    </row>
    <row r="221">
      <c r="A221" t="n">
        <v>220</v>
      </c>
      <c r="B221" s="14">
        <f>Variables!$B$24+(A221-1)*7</f>
        <v/>
      </c>
      <c r="C221" s="12">
        <f>P220</f>
        <v/>
      </c>
      <c r="D221" s="12">
        <f>Q220</f>
        <v/>
      </c>
      <c r="E221" s="12">
        <f>C221+IF(A221&gt;Variables!$B$25,D221,0)</f>
        <v/>
      </c>
      <c r="F221" s="12">
        <f>C221+D221</f>
        <v/>
      </c>
      <c r="G221" s="11">
        <f>IF(A221&gt;Variables!$B$22,Variables!$B$12,0)</f>
        <v/>
      </c>
      <c r="H221" s="11">
        <f>IF(AND(A221&gt;Variables!$B$22,Variables!$B$14="Yes"),Variables!$B$13,0)</f>
        <v/>
      </c>
      <c r="I221" s="11">
        <f>IF(AA221&gt;Variables!$B$18,0,IF(AA221&gt;Variables!$B$19,CEILING((AA221-Variables!$B$19)/Variables!$B$21,1)*Variables!$B$20,0))</f>
        <v/>
      </c>
      <c r="J221" s="11">
        <f>IF(AA221&lt;=Variables!$B$18,MIN(Variables!$B$9-Variables!$B$8+I221,Variables!$B$26),0)</f>
        <v/>
      </c>
      <c r="K221" s="11">
        <f>IF(AA221&lt;=Variables!$B$18,Variables!$B$27,0)</f>
        <v/>
      </c>
      <c r="L221" s="11">
        <f>IF(AA221&gt;Variables!$B$18,G221+H221,Variables!$B$26-J221)</f>
        <v/>
      </c>
      <c r="M221" s="11">
        <f>IF(AA221&gt;Variables!$B$18,Variables!$B$2-G221-H221,J221+K221)</f>
        <v/>
      </c>
      <c r="N221" s="11">
        <f>Variables!$B$9-AC221</f>
        <v/>
      </c>
      <c r="O221" s="12">
        <f>F221+N221</f>
        <v/>
      </c>
      <c r="P221" s="12">
        <f>MAX(0,C221+N221)</f>
        <v/>
      </c>
      <c r="Q221" s="12">
        <f>D221+MIN(0,C221+N221)</f>
        <v/>
      </c>
      <c r="R221">
        <f>IF(AA221&gt;Variables!$B$18,"Self-funder",IF(AA221&gt;Variables!$B$19,"Tariff band - council contributing","Council pays standard rate"))</f>
        <v/>
      </c>
      <c r="S221" s="12">
        <f>Variables!$B$18</f>
        <v/>
      </c>
      <c r="T221" s="12">
        <f>Variables!$B$19</f>
        <v/>
      </c>
      <c r="U221">
        <f>AA221&lt;=Variables!$B$18</f>
        <v/>
      </c>
      <c r="V221">
        <f>AA221&lt;=Variables!$B$19</f>
        <v/>
      </c>
      <c r="W221">
        <f>P221&lt;=0</f>
        <v/>
      </c>
      <c r="X221" s="12">
        <f>Variables!$B$28</f>
        <v/>
      </c>
      <c r="Y221">
        <f>AB221&lt;=Variables!$B$28</f>
        <v/>
      </c>
      <c r="Z221">
        <f>AB221&lt;=Variables!$B$18</f>
        <v/>
      </c>
      <c r="AA221" s="12">
        <f>AB220</f>
        <v/>
      </c>
      <c r="AB221" s="12">
        <f>AA221+Variables!$B$9-M221</f>
        <v/>
      </c>
      <c r="AC221" s="11">
        <f>IF(MOD(A221-1,Variables!$B$30)=0,Variables!$B$30*M221,0)</f>
        <v/>
      </c>
      <c r="AD221" s="12">
        <f>IF(A221=MATCH(TRUE,$Y$2:$Y$261,0),MAX($AB$2:$AB$261),IF(A221=MATCH(TRUE,$Y$2:$Y$261,0)-1,0,NA()))</f>
        <v/>
      </c>
      <c r="AE221" s="12">
        <f>IF(A221=MATCH(TRUE,$Z$2:$Z$261,0),MAX($AB$2:$AB$261),IF(A221=MATCH(TRUE,$Z$2:$Z$261,0)-1,0,NA()))</f>
        <v/>
      </c>
    </row>
    <row r="222">
      <c r="A222" t="n">
        <v>221</v>
      </c>
      <c r="B222" s="14">
        <f>Variables!$B$24+(A222-1)*7</f>
        <v/>
      </c>
      <c r="C222" s="12">
        <f>P221</f>
        <v/>
      </c>
      <c r="D222" s="12">
        <f>Q221</f>
        <v/>
      </c>
      <c r="E222" s="12">
        <f>C222+IF(A222&gt;Variables!$B$25,D222,0)</f>
        <v/>
      </c>
      <c r="F222" s="12">
        <f>C222+D222</f>
        <v/>
      </c>
      <c r="G222" s="11">
        <f>IF(A222&gt;Variables!$B$22,Variables!$B$12,0)</f>
        <v/>
      </c>
      <c r="H222" s="11">
        <f>IF(AND(A222&gt;Variables!$B$22,Variables!$B$14="Yes"),Variables!$B$13,0)</f>
        <v/>
      </c>
      <c r="I222" s="11">
        <f>IF(AA222&gt;Variables!$B$18,0,IF(AA222&gt;Variables!$B$19,CEILING((AA222-Variables!$B$19)/Variables!$B$21,1)*Variables!$B$20,0))</f>
        <v/>
      </c>
      <c r="J222" s="11">
        <f>IF(AA222&lt;=Variables!$B$18,MIN(Variables!$B$9-Variables!$B$8+I222,Variables!$B$26),0)</f>
        <v/>
      </c>
      <c r="K222" s="11">
        <f>IF(AA222&lt;=Variables!$B$18,Variables!$B$27,0)</f>
        <v/>
      </c>
      <c r="L222" s="11">
        <f>IF(AA222&gt;Variables!$B$18,G222+H222,Variables!$B$26-J222)</f>
        <v/>
      </c>
      <c r="M222" s="11">
        <f>IF(AA222&gt;Variables!$B$18,Variables!$B$2-G222-H222,J222+K222)</f>
        <v/>
      </c>
      <c r="N222" s="11">
        <f>Variables!$B$9-AC222</f>
        <v/>
      </c>
      <c r="O222" s="12">
        <f>F222+N222</f>
        <v/>
      </c>
      <c r="P222" s="12">
        <f>MAX(0,C222+N222)</f>
        <v/>
      </c>
      <c r="Q222" s="12">
        <f>D222+MIN(0,C222+N222)</f>
        <v/>
      </c>
      <c r="R222">
        <f>IF(AA222&gt;Variables!$B$18,"Self-funder",IF(AA222&gt;Variables!$B$19,"Tariff band - council contributing","Council pays standard rate"))</f>
        <v/>
      </c>
      <c r="S222" s="12">
        <f>Variables!$B$18</f>
        <v/>
      </c>
      <c r="T222" s="12">
        <f>Variables!$B$19</f>
        <v/>
      </c>
      <c r="U222">
        <f>AA222&lt;=Variables!$B$18</f>
        <v/>
      </c>
      <c r="V222">
        <f>AA222&lt;=Variables!$B$19</f>
        <v/>
      </c>
      <c r="W222">
        <f>P222&lt;=0</f>
        <v/>
      </c>
      <c r="X222" s="12">
        <f>Variables!$B$28</f>
        <v/>
      </c>
      <c r="Y222">
        <f>AB222&lt;=Variables!$B$28</f>
        <v/>
      </c>
      <c r="Z222">
        <f>AB222&lt;=Variables!$B$18</f>
        <v/>
      </c>
      <c r="AA222" s="12">
        <f>AB221</f>
        <v/>
      </c>
      <c r="AB222" s="12">
        <f>AA222+Variables!$B$9-M222</f>
        <v/>
      </c>
      <c r="AC222" s="11">
        <f>IF(MOD(A222-1,Variables!$B$30)=0,Variables!$B$30*M222,0)</f>
        <v/>
      </c>
      <c r="AD222" s="12">
        <f>IF(A222=MATCH(TRUE,$Y$2:$Y$261,0),MAX($AB$2:$AB$261),IF(A222=MATCH(TRUE,$Y$2:$Y$261,0)-1,0,NA()))</f>
        <v/>
      </c>
      <c r="AE222" s="12">
        <f>IF(A222=MATCH(TRUE,$Z$2:$Z$261,0),MAX($AB$2:$AB$261),IF(A222=MATCH(TRUE,$Z$2:$Z$261,0)-1,0,NA()))</f>
        <v/>
      </c>
    </row>
    <row r="223">
      <c r="A223" t="n">
        <v>222</v>
      </c>
      <c r="B223" s="14">
        <f>Variables!$B$24+(A223-1)*7</f>
        <v/>
      </c>
      <c r="C223" s="12">
        <f>P222</f>
        <v/>
      </c>
      <c r="D223" s="12">
        <f>Q222</f>
        <v/>
      </c>
      <c r="E223" s="12">
        <f>C223+IF(A223&gt;Variables!$B$25,D223,0)</f>
        <v/>
      </c>
      <c r="F223" s="12">
        <f>C223+D223</f>
        <v/>
      </c>
      <c r="G223" s="11">
        <f>IF(A223&gt;Variables!$B$22,Variables!$B$12,0)</f>
        <v/>
      </c>
      <c r="H223" s="11">
        <f>IF(AND(A223&gt;Variables!$B$22,Variables!$B$14="Yes"),Variables!$B$13,0)</f>
        <v/>
      </c>
      <c r="I223" s="11">
        <f>IF(AA223&gt;Variables!$B$18,0,IF(AA223&gt;Variables!$B$19,CEILING((AA223-Variables!$B$19)/Variables!$B$21,1)*Variables!$B$20,0))</f>
        <v/>
      </c>
      <c r="J223" s="11">
        <f>IF(AA223&lt;=Variables!$B$18,MIN(Variables!$B$9-Variables!$B$8+I223,Variables!$B$26),0)</f>
        <v/>
      </c>
      <c r="K223" s="11">
        <f>IF(AA223&lt;=Variables!$B$18,Variables!$B$27,0)</f>
        <v/>
      </c>
      <c r="L223" s="11">
        <f>IF(AA223&gt;Variables!$B$18,G223+H223,Variables!$B$26-J223)</f>
        <v/>
      </c>
      <c r="M223" s="11">
        <f>IF(AA223&gt;Variables!$B$18,Variables!$B$2-G223-H223,J223+K223)</f>
        <v/>
      </c>
      <c r="N223" s="11">
        <f>Variables!$B$9-AC223</f>
        <v/>
      </c>
      <c r="O223" s="12">
        <f>F223+N223</f>
        <v/>
      </c>
      <c r="P223" s="12">
        <f>MAX(0,C223+N223)</f>
        <v/>
      </c>
      <c r="Q223" s="12">
        <f>D223+MIN(0,C223+N223)</f>
        <v/>
      </c>
      <c r="R223">
        <f>IF(AA223&gt;Variables!$B$18,"Self-funder",IF(AA223&gt;Variables!$B$19,"Tariff band - council contributing","Council pays standard rate"))</f>
        <v/>
      </c>
      <c r="S223" s="12">
        <f>Variables!$B$18</f>
        <v/>
      </c>
      <c r="T223" s="12">
        <f>Variables!$B$19</f>
        <v/>
      </c>
      <c r="U223">
        <f>AA223&lt;=Variables!$B$18</f>
        <v/>
      </c>
      <c r="V223">
        <f>AA223&lt;=Variables!$B$19</f>
        <v/>
      </c>
      <c r="W223">
        <f>P223&lt;=0</f>
        <v/>
      </c>
      <c r="X223" s="12">
        <f>Variables!$B$28</f>
        <v/>
      </c>
      <c r="Y223">
        <f>AB223&lt;=Variables!$B$28</f>
        <v/>
      </c>
      <c r="Z223">
        <f>AB223&lt;=Variables!$B$18</f>
        <v/>
      </c>
      <c r="AA223" s="12">
        <f>AB222</f>
        <v/>
      </c>
      <c r="AB223" s="12">
        <f>AA223+Variables!$B$9-M223</f>
        <v/>
      </c>
      <c r="AC223" s="11">
        <f>IF(MOD(A223-1,Variables!$B$30)=0,Variables!$B$30*M223,0)</f>
        <v/>
      </c>
      <c r="AD223" s="12">
        <f>IF(A223=MATCH(TRUE,$Y$2:$Y$261,0),MAX($AB$2:$AB$261),IF(A223=MATCH(TRUE,$Y$2:$Y$261,0)-1,0,NA()))</f>
        <v/>
      </c>
      <c r="AE223" s="12">
        <f>IF(A223=MATCH(TRUE,$Z$2:$Z$261,0),MAX($AB$2:$AB$261),IF(A223=MATCH(TRUE,$Z$2:$Z$261,0)-1,0,NA()))</f>
        <v/>
      </c>
    </row>
    <row r="224">
      <c r="A224" t="n">
        <v>223</v>
      </c>
      <c r="B224" s="14">
        <f>Variables!$B$24+(A224-1)*7</f>
        <v/>
      </c>
      <c r="C224" s="12">
        <f>P223</f>
        <v/>
      </c>
      <c r="D224" s="12">
        <f>Q223</f>
        <v/>
      </c>
      <c r="E224" s="12">
        <f>C224+IF(A224&gt;Variables!$B$25,D224,0)</f>
        <v/>
      </c>
      <c r="F224" s="12">
        <f>C224+D224</f>
        <v/>
      </c>
      <c r="G224" s="11">
        <f>IF(A224&gt;Variables!$B$22,Variables!$B$12,0)</f>
        <v/>
      </c>
      <c r="H224" s="11">
        <f>IF(AND(A224&gt;Variables!$B$22,Variables!$B$14="Yes"),Variables!$B$13,0)</f>
        <v/>
      </c>
      <c r="I224" s="11">
        <f>IF(AA224&gt;Variables!$B$18,0,IF(AA224&gt;Variables!$B$19,CEILING((AA224-Variables!$B$19)/Variables!$B$21,1)*Variables!$B$20,0))</f>
        <v/>
      </c>
      <c r="J224" s="11">
        <f>IF(AA224&lt;=Variables!$B$18,MIN(Variables!$B$9-Variables!$B$8+I224,Variables!$B$26),0)</f>
        <v/>
      </c>
      <c r="K224" s="11">
        <f>IF(AA224&lt;=Variables!$B$18,Variables!$B$27,0)</f>
        <v/>
      </c>
      <c r="L224" s="11">
        <f>IF(AA224&gt;Variables!$B$18,G224+H224,Variables!$B$26-J224)</f>
        <v/>
      </c>
      <c r="M224" s="11">
        <f>IF(AA224&gt;Variables!$B$18,Variables!$B$2-G224-H224,J224+K224)</f>
        <v/>
      </c>
      <c r="N224" s="11">
        <f>Variables!$B$9-AC224</f>
        <v/>
      </c>
      <c r="O224" s="12">
        <f>F224+N224</f>
        <v/>
      </c>
      <c r="P224" s="12">
        <f>MAX(0,C224+N224)</f>
        <v/>
      </c>
      <c r="Q224" s="12">
        <f>D224+MIN(0,C224+N224)</f>
        <v/>
      </c>
      <c r="R224">
        <f>IF(AA224&gt;Variables!$B$18,"Self-funder",IF(AA224&gt;Variables!$B$19,"Tariff band - council contributing","Council pays standard rate"))</f>
        <v/>
      </c>
      <c r="S224" s="12">
        <f>Variables!$B$18</f>
        <v/>
      </c>
      <c r="T224" s="12">
        <f>Variables!$B$19</f>
        <v/>
      </c>
      <c r="U224">
        <f>AA224&lt;=Variables!$B$18</f>
        <v/>
      </c>
      <c r="V224">
        <f>AA224&lt;=Variables!$B$19</f>
        <v/>
      </c>
      <c r="W224">
        <f>P224&lt;=0</f>
        <v/>
      </c>
      <c r="X224" s="12">
        <f>Variables!$B$28</f>
        <v/>
      </c>
      <c r="Y224">
        <f>AB224&lt;=Variables!$B$28</f>
        <v/>
      </c>
      <c r="Z224">
        <f>AB224&lt;=Variables!$B$18</f>
        <v/>
      </c>
      <c r="AA224" s="12">
        <f>AB223</f>
        <v/>
      </c>
      <c r="AB224" s="12">
        <f>AA224+Variables!$B$9-M224</f>
        <v/>
      </c>
      <c r="AC224" s="11">
        <f>IF(MOD(A224-1,Variables!$B$30)=0,Variables!$B$30*M224,0)</f>
        <v/>
      </c>
      <c r="AD224" s="12">
        <f>IF(A224=MATCH(TRUE,$Y$2:$Y$261,0),MAX($AB$2:$AB$261),IF(A224=MATCH(TRUE,$Y$2:$Y$261,0)-1,0,NA()))</f>
        <v/>
      </c>
      <c r="AE224" s="12">
        <f>IF(A224=MATCH(TRUE,$Z$2:$Z$261,0),MAX($AB$2:$AB$261),IF(A224=MATCH(TRUE,$Z$2:$Z$261,0)-1,0,NA()))</f>
        <v/>
      </c>
    </row>
    <row r="225">
      <c r="A225" t="n">
        <v>224</v>
      </c>
      <c r="B225" s="14">
        <f>Variables!$B$24+(A225-1)*7</f>
        <v/>
      </c>
      <c r="C225" s="12">
        <f>P224</f>
        <v/>
      </c>
      <c r="D225" s="12">
        <f>Q224</f>
        <v/>
      </c>
      <c r="E225" s="12">
        <f>C225+IF(A225&gt;Variables!$B$25,D225,0)</f>
        <v/>
      </c>
      <c r="F225" s="12">
        <f>C225+D225</f>
        <v/>
      </c>
      <c r="G225" s="11">
        <f>IF(A225&gt;Variables!$B$22,Variables!$B$12,0)</f>
        <v/>
      </c>
      <c r="H225" s="11">
        <f>IF(AND(A225&gt;Variables!$B$22,Variables!$B$14="Yes"),Variables!$B$13,0)</f>
        <v/>
      </c>
      <c r="I225" s="11">
        <f>IF(AA225&gt;Variables!$B$18,0,IF(AA225&gt;Variables!$B$19,CEILING((AA225-Variables!$B$19)/Variables!$B$21,1)*Variables!$B$20,0))</f>
        <v/>
      </c>
      <c r="J225" s="11">
        <f>IF(AA225&lt;=Variables!$B$18,MIN(Variables!$B$9-Variables!$B$8+I225,Variables!$B$26),0)</f>
        <v/>
      </c>
      <c r="K225" s="11">
        <f>IF(AA225&lt;=Variables!$B$18,Variables!$B$27,0)</f>
        <v/>
      </c>
      <c r="L225" s="11">
        <f>IF(AA225&gt;Variables!$B$18,G225+H225,Variables!$B$26-J225)</f>
        <v/>
      </c>
      <c r="M225" s="11">
        <f>IF(AA225&gt;Variables!$B$18,Variables!$B$2-G225-H225,J225+K225)</f>
        <v/>
      </c>
      <c r="N225" s="11">
        <f>Variables!$B$9-AC225</f>
        <v/>
      </c>
      <c r="O225" s="12">
        <f>F225+N225</f>
        <v/>
      </c>
      <c r="P225" s="12">
        <f>MAX(0,C225+N225)</f>
        <v/>
      </c>
      <c r="Q225" s="12">
        <f>D225+MIN(0,C225+N225)</f>
        <v/>
      </c>
      <c r="R225">
        <f>IF(AA225&gt;Variables!$B$18,"Self-funder",IF(AA225&gt;Variables!$B$19,"Tariff band - council contributing","Council pays standard rate"))</f>
        <v/>
      </c>
      <c r="S225" s="12">
        <f>Variables!$B$18</f>
        <v/>
      </c>
      <c r="T225" s="12">
        <f>Variables!$B$19</f>
        <v/>
      </c>
      <c r="U225">
        <f>AA225&lt;=Variables!$B$18</f>
        <v/>
      </c>
      <c r="V225">
        <f>AA225&lt;=Variables!$B$19</f>
        <v/>
      </c>
      <c r="W225">
        <f>P225&lt;=0</f>
        <v/>
      </c>
      <c r="X225" s="12">
        <f>Variables!$B$28</f>
        <v/>
      </c>
      <c r="Y225">
        <f>AB225&lt;=Variables!$B$28</f>
        <v/>
      </c>
      <c r="Z225">
        <f>AB225&lt;=Variables!$B$18</f>
        <v/>
      </c>
      <c r="AA225" s="12">
        <f>AB224</f>
        <v/>
      </c>
      <c r="AB225" s="12">
        <f>AA225+Variables!$B$9-M225</f>
        <v/>
      </c>
      <c r="AC225" s="11">
        <f>IF(MOD(A225-1,Variables!$B$30)=0,Variables!$B$30*M225,0)</f>
        <v/>
      </c>
      <c r="AD225" s="12">
        <f>IF(A225=MATCH(TRUE,$Y$2:$Y$261,0),MAX($AB$2:$AB$261),IF(A225=MATCH(TRUE,$Y$2:$Y$261,0)-1,0,NA()))</f>
        <v/>
      </c>
      <c r="AE225" s="12">
        <f>IF(A225=MATCH(TRUE,$Z$2:$Z$261,0),MAX($AB$2:$AB$261),IF(A225=MATCH(TRUE,$Z$2:$Z$261,0)-1,0,NA()))</f>
        <v/>
      </c>
    </row>
    <row r="226">
      <c r="A226" t="n">
        <v>225</v>
      </c>
      <c r="B226" s="14">
        <f>Variables!$B$24+(A226-1)*7</f>
        <v/>
      </c>
      <c r="C226" s="12">
        <f>P225</f>
        <v/>
      </c>
      <c r="D226" s="12">
        <f>Q225</f>
        <v/>
      </c>
      <c r="E226" s="12">
        <f>C226+IF(A226&gt;Variables!$B$25,D226,0)</f>
        <v/>
      </c>
      <c r="F226" s="12">
        <f>C226+D226</f>
        <v/>
      </c>
      <c r="G226" s="11">
        <f>IF(A226&gt;Variables!$B$22,Variables!$B$12,0)</f>
        <v/>
      </c>
      <c r="H226" s="11">
        <f>IF(AND(A226&gt;Variables!$B$22,Variables!$B$14="Yes"),Variables!$B$13,0)</f>
        <v/>
      </c>
      <c r="I226" s="11">
        <f>IF(AA226&gt;Variables!$B$18,0,IF(AA226&gt;Variables!$B$19,CEILING((AA226-Variables!$B$19)/Variables!$B$21,1)*Variables!$B$20,0))</f>
        <v/>
      </c>
      <c r="J226" s="11">
        <f>IF(AA226&lt;=Variables!$B$18,MIN(Variables!$B$9-Variables!$B$8+I226,Variables!$B$26),0)</f>
        <v/>
      </c>
      <c r="K226" s="11">
        <f>IF(AA226&lt;=Variables!$B$18,Variables!$B$27,0)</f>
        <v/>
      </c>
      <c r="L226" s="11">
        <f>IF(AA226&gt;Variables!$B$18,G226+H226,Variables!$B$26-J226)</f>
        <v/>
      </c>
      <c r="M226" s="11">
        <f>IF(AA226&gt;Variables!$B$18,Variables!$B$2-G226-H226,J226+K226)</f>
        <v/>
      </c>
      <c r="N226" s="11">
        <f>Variables!$B$9-AC226</f>
        <v/>
      </c>
      <c r="O226" s="12">
        <f>F226+N226</f>
        <v/>
      </c>
      <c r="P226" s="12">
        <f>MAX(0,C226+N226)</f>
        <v/>
      </c>
      <c r="Q226" s="12">
        <f>D226+MIN(0,C226+N226)</f>
        <v/>
      </c>
      <c r="R226">
        <f>IF(AA226&gt;Variables!$B$18,"Self-funder",IF(AA226&gt;Variables!$B$19,"Tariff band - council contributing","Council pays standard rate"))</f>
        <v/>
      </c>
      <c r="S226" s="12">
        <f>Variables!$B$18</f>
        <v/>
      </c>
      <c r="T226" s="12">
        <f>Variables!$B$19</f>
        <v/>
      </c>
      <c r="U226">
        <f>AA226&lt;=Variables!$B$18</f>
        <v/>
      </c>
      <c r="V226">
        <f>AA226&lt;=Variables!$B$19</f>
        <v/>
      </c>
      <c r="W226">
        <f>P226&lt;=0</f>
        <v/>
      </c>
      <c r="X226" s="12">
        <f>Variables!$B$28</f>
        <v/>
      </c>
      <c r="Y226">
        <f>AB226&lt;=Variables!$B$28</f>
        <v/>
      </c>
      <c r="Z226">
        <f>AB226&lt;=Variables!$B$18</f>
        <v/>
      </c>
      <c r="AA226" s="12">
        <f>AB225</f>
        <v/>
      </c>
      <c r="AB226" s="12">
        <f>AA226+Variables!$B$9-M226</f>
        <v/>
      </c>
      <c r="AC226" s="11">
        <f>IF(MOD(A226-1,Variables!$B$30)=0,Variables!$B$30*M226,0)</f>
        <v/>
      </c>
      <c r="AD226" s="12">
        <f>IF(A226=MATCH(TRUE,$Y$2:$Y$261,0),MAX($AB$2:$AB$261),IF(A226=MATCH(TRUE,$Y$2:$Y$261,0)-1,0,NA()))</f>
        <v/>
      </c>
      <c r="AE226" s="12">
        <f>IF(A226=MATCH(TRUE,$Z$2:$Z$261,0),MAX($AB$2:$AB$261),IF(A226=MATCH(TRUE,$Z$2:$Z$261,0)-1,0,NA()))</f>
        <v/>
      </c>
    </row>
    <row r="227">
      <c r="A227" t="n">
        <v>226</v>
      </c>
      <c r="B227" s="14">
        <f>Variables!$B$24+(A227-1)*7</f>
        <v/>
      </c>
      <c r="C227" s="12">
        <f>P226</f>
        <v/>
      </c>
      <c r="D227" s="12">
        <f>Q226</f>
        <v/>
      </c>
      <c r="E227" s="12">
        <f>C227+IF(A227&gt;Variables!$B$25,D227,0)</f>
        <v/>
      </c>
      <c r="F227" s="12">
        <f>C227+D227</f>
        <v/>
      </c>
      <c r="G227" s="11">
        <f>IF(A227&gt;Variables!$B$22,Variables!$B$12,0)</f>
        <v/>
      </c>
      <c r="H227" s="11">
        <f>IF(AND(A227&gt;Variables!$B$22,Variables!$B$14="Yes"),Variables!$B$13,0)</f>
        <v/>
      </c>
      <c r="I227" s="11">
        <f>IF(AA227&gt;Variables!$B$18,0,IF(AA227&gt;Variables!$B$19,CEILING((AA227-Variables!$B$19)/Variables!$B$21,1)*Variables!$B$20,0))</f>
        <v/>
      </c>
      <c r="J227" s="11">
        <f>IF(AA227&lt;=Variables!$B$18,MIN(Variables!$B$9-Variables!$B$8+I227,Variables!$B$26),0)</f>
        <v/>
      </c>
      <c r="K227" s="11">
        <f>IF(AA227&lt;=Variables!$B$18,Variables!$B$27,0)</f>
        <v/>
      </c>
      <c r="L227" s="11">
        <f>IF(AA227&gt;Variables!$B$18,G227+H227,Variables!$B$26-J227)</f>
        <v/>
      </c>
      <c r="M227" s="11">
        <f>IF(AA227&gt;Variables!$B$18,Variables!$B$2-G227-H227,J227+K227)</f>
        <v/>
      </c>
      <c r="N227" s="11">
        <f>Variables!$B$9-AC227</f>
        <v/>
      </c>
      <c r="O227" s="12">
        <f>F227+N227</f>
        <v/>
      </c>
      <c r="P227" s="12">
        <f>MAX(0,C227+N227)</f>
        <v/>
      </c>
      <c r="Q227" s="12">
        <f>D227+MIN(0,C227+N227)</f>
        <v/>
      </c>
      <c r="R227">
        <f>IF(AA227&gt;Variables!$B$18,"Self-funder",IF(AA227&gt;Variables!$B$19,"Tariff band - council contributing","Council pays standard rate"))</f>
        <v/>
      </c>
      <c r="S227" s="12">
        <f>Variables!$B$18</f>
        <v/>
      </c>
      <c r="T227" s="12">
        <f>Variables!$B$19</f>
        <v/>
      </c>
      <c r="U227">
        <f>AA227&lt;=Variables!$B$18</f>
        <v/>
      </c>
      <c r="V227">
        <f>AA227&lt;=Variables!$B$19</f>
        <v/>
      </c>
      <c r="W227">
        <f>P227&lt;=0</f>
        <v/>
      </c>
      <c r="X227" s="12">
        <f>Variables!$B$28</f>
        <v/>
      </c>
      <c r="Y227">
        <f>AB227&lt;=Variables!$B$28</f>
        <v/>
      </c>
      <c r="Z227">
        <f>AB227&lt;=Variables!$B$18</f>
        <v/>
      </c>
      <c r="AA227" s="12">
        <f>AB226</f>
        <v/>
      </c>
      <c r="AB227" s="12">
        <f>AA227+Variables!$B$9-M227</f>
        <v/>
      </c>
      <c r="AC227" s="11">
        <f>IF(MOD(A227-1,Variables!$B$30)=0,Variables!$B$30*M227,0)</f>
        <v/>
      </c>
      <c r="AD227" s="12">
        <f>IF(A227=MATCH(TRUE,$Y$2:$Y$261,0),MAX($AB$2:$AB$261),IF(A227=MATCH(TRUE,$Y$2:$Y$261,0)-1,0,NA()))</f>
        <v/>
      </c>
      <c r="AE227" s="12">
        <f>IF(A227=MATCH(TRUE,$Z$2:$Z$261,0),MAX($AB$2:$AB$261),IF(A227=MATCH(TRUE,$Z$2:$Z$261,0)-1,0,NA()))</f>
        <v/>
      </c>
    </row>
    <row r="228">
      <c r="A228" t="n">
        <v>227</v>
      </c>
      <c r="B228" s="14">
        <f>Variables!$B$24+(A228-1)*7</f>
        <v/>
      </c>
      <c r="C228" s="12">
        <f>P227</f>
        <v/>
      </c>
      <c r="D228" s="12">
        <f>Q227</f>
        <v/>
      </c>
      <c r="E228" s="12">
        <f>C228+IF(A228&gt;Variables!$B$25,D228,0)</f>
        <v/>
      </c>
      <c r="F228" s="12">
        <f>C228+D228</f>
        <v/>
      </c>
      <c r="G228" s="11">
        <f>IF(A228&gt;Variables!$B$22,Variables!$B$12,0)</f>
        <v/>
      </c>
      <c r="H228" s="11">
        <f>IF(AND(A228&gt;Variables!$B$22,Variables!$B$14="Yes"),Variables!$B$13,0)</f>
        <v/>
      </c>
      <c r="I228" s="11">
        <f>IF(AA228&gt;Variables!$B$18,0,IF(AA228&gt;Variables!$B$19,CEILING((AA228-Variables!$B$19)/Variables!$B$21,1)*Variables!$B$20,0))</f>
        <v/>
      </c>
      <c r="J228" s="11">
        <f>IF(AA228&lt;=Variables!$B$18,MIN(Variables!$B$9-Variables!$B$8+I228,Variables!$B$26),0)</f>
        <v/>
      </c>
      <c r="K228" s="11">
        <f>IF(AA228&lt;=Variables!$B$18,Variables!$B$27,0)</f>
        <v/>
      </c>
      <c r="L228" s="11">
        <f>IF(AA228&gt;Variables!$B$18,G228+H228,Variables!$B$26-J228)</f>
        <v/>
      </c>
      <c r="M228" s="11">
        <f>IF(AA228&gt;Variables!$B$18,Variables!$B$2-G228-H228,J228+K228)</f>
        <v/>
      </c>
      <c r="N228" s="11">
        <f>Variables!$B$9-AC228</f>
        <v/>
      </c>
      <c r="O228" s="12">
        <f>F228+N228</f>
        <v/>
      </c>
      <c r="P228" s="12">
        <f>MAX(0,C228+N228)</f>
        <v/>
      </c>
      <c r="Q228" s="12">
        <f>D228+MIN(0,C228+N228)</f>
        <v/>
      </c>
      <c r="R228">
        <f>IF(AA228&gt;Variables!$B$18,"Self-funder",IF(AA228&gt;Variables!$B$19,"Tariff band - council contributing","Council pays standard rate"))</f>
        <v/>
      </c>
      <c r="S228" s="12">
        <f>Variables!$B$18</f>
        <v/>
      </c>
      <c r="T228" s="12">
        <f>Variables!$B$19</f>
        <v/>
      </c>
      <c r="U228">
        <f>AA228&lt;=Variables!$B$18</f>
        <v/>
      </c>
      <c r="V228">
        <f>AA228&lt;=Variables!$B$19</f>
        <v/>
      </c>
      <c r="W228">
        <f>P228&lt;=0</f>
        <v/>
      </c>
      <c r="X228" s="12">
        <f>Variables!$B$28</f>
        <v/>
      </c>
      <c r="Y228">
        <f>AB228&lt;=Variables!$B$28</f>
        <v/>
      </c>
      <c r="Z228">
        <f>AB228&lt;=Variables!$B$18</f>
        <v/>
      </c>
      <c r="AA228" s="12">
        <f>AB227</f>
        <v/>
      </c>
      <c r="AB228" s="12">
        <f>AA228+Variables!$B$9-M228</f>
        <v/>
      </c>
      <c r="AC228" s="11">
        <f>IF(MOD(A228-1,Variables!$B$30)=0,Variables!$B$30*M228,0)</f>
        <v/>
      </c>
      <c r="AD228" s="12">
        <f>IF(A228=MATCH(TRUE,$Y$2:$Y$261,0),MAX($AB$2:$AB$261),IF(A228=MATCH(TRUE,$Y$2:$Y$261,0)-1,0,NA()))</f>
        <v/>
      </c>
      <c r="AE228" s="12">
        <f>IF(A228=MATCH(TRUE,$Z$2:$Z$261,0),MAX($AB$2:$AB$261),IF(A228=MATCH(TRUE,$Z$2:$Z$261,0)-1,0,NA()))</f>
        <v/>
      </c>
    </row>
    <row r="229">
      <c r="A229" t="n">
        <v>228</v>
      </c>
      <c r="B229" s="14">
        <f>Variables!$B$24+(A229-1)*7</f>
        <v/>
      </c>
      <c r="C229" s="12">
        <f>P228</f>
        <v/>
      </c>
      <c r="D229" s="12">
        <f>Q228</f>
        <v/>
      </c>
      <c r="E229" s="12">
        <f>C229+IF(A229&gt;Variables!$B$25,D229,0)</f>
        <v/>
      </c>
      <c r="F229" s="12">
        <f>C229+D229</f>
        <v/>
      </c>
      <c r="G229" s="11">
        <f>IF(A229&gt;Variables!$B$22,Variables!$B$12,0)</f>
        <v/>
      </c>
      <c r="H229" s="11">
        <f>IF(AND(A229&gt;Variables!$B$22,Variables!$B$14="Yes"),Variables!$B$13,0)</f>
        <v/>
      </c>
      <c r="I229" s="11">
        <f>IF(AA229&gt;Variables!$B$18,0,IF(AA229&gt;Variables!$B$19,CEILING((AA229-Variables!$B$19)/Variables!$B$21,1)*Variables!$B$20,0))</f>
        <v/>
      </c>
      <c r="J229" s="11">
        <f>IF(AA229&lt;=Variables!$B$18,MIN(Variables!$B$9-Variables!$B$8+I229,Variables!$B$26),0)</f>
        <v/>
      </c>
      <c r="K229" s="11">
        <f>IF(AA229&lt;=Variables!$B$18,Variables!$B$27,0)</f>
        <v/>
      </c>
      <c r="L229" s="11">
        <f>IF(AA229&gt;Variables!$B$18,G229+H229,Variables!$B$26-J229)</f>
        <v/>
      </c>
      <c r="M229" s="11">
        <f>IF(AA229&gt;Variables!$B$18,Variables!$B$2-G229-H229,J229+K229)</f>
        <v/>
      </c>
      <c r="N229" s="11">
        <f>Variables!$B$9-AC229</f>
        <v/>
      </c>
      <c r="O229" s="12">
        <f>F229+N229</f>
        <v/>
      </c>
      <c r="P229" s="12">
        <f>MAX(0,C229+N229)</f>
        <v/>
      </c>
      <c r="Q229" s="12">
        <f>D229+MIN(0,C229+N229)</f>
        <v/>
      </c>
      <c r="R229">
        <f>IF(AA229&gt;Variables!$B$18,"Self-funder",IF(AA229&gt;Variables!$B$19,"Tariff band - council contributing","Council pays standard rate"))</f>
        <v/>
      </c>
      <c r="S229" s="12">
        <f>Variables!$B$18</f>
        <v/>
      </c>
      <c r="T229" s="12">
        <f>Variables!$B$19</f>
        <v/>
      </c>
      <c r="U229">
        <f>AA229&lt;=Variables!$B$18</f>
        <v/>
      </c>
      <c r="V229">
        <f>AA229&lt;=Variables!$B$19</f>
        <v/>
      </c>
      <c r="W229">
        <f>P229&lt;=0</f>
        <v/>
      </c>
      <c r="X229" s="12">
        <f>Variables!$B$28</f>
        <v/>
      </c>
      <c r="Y229">
        <f>AB229&lt;=Variables!$B$28</f>
        <v/>
      </c>
      <c r="Z229">
        <f>AB229&lt;=Variables!$B$18</f>
        <v/>
      </c>
      <c r="AA229" s="12">
        <f>AB228</f>
        <v/>
      </c>
      <c r="AB229" s="12">
        <f>AA229+Variables!$B$9-M229</f>
        <v/>
      </c>
      <c r="AC229" s="11">
        <f>IF(MOD(A229-1,Variables!$B$30)=0,Variables!$B$30*M229,0)</f>
        <v/>
      </c>
      <c r="AD229" s="12">
        <f>IF(A229=MATCH(TRUE,$Y$2:$Y$261,0),MAX($AB$2:$AB$261),IF(A229=MATCH(TRUE,$Y$2:$Y$261,0)-1,0,NA()))</f>
        <v/>
      </c>
      <c r="AE229" s="12">
        <f>IF(A229=MATCH(TRUE,$Z$2:$Z$261,0),MAX($AB$2:$AB$261),IF(A229=MATCH(TRUE,$Z$2:$Z$261,0)-1,0,NA()))</f>
        <v/>
      </c>
    </row>
    <row r="230">
      <c r="A230" t="n">
        <v>229</v>
      </c>
      <c r="B230" s="14">
        <f>Variables!$B$24+(A230-1)*7</f>
        <v/>
      </c>
      <c r="C230" s="12">
        <f>P229</f>
        <v/>
      </c>
      <c r="D230" s="12">
        <f>Q229</f>
        <v/>
      </c>
      <c r="E230" s="12">
        <f>C230+IF(A230&gt;Variables!$B$25,D230,0)</f>
        <v/>
      </c>
      <c r="F230" s="12">
        <f>C230+D230</f>
        <v/>
      </c>
      <c r="G230" s="11">
        <f>IF(A230&gt;Variables!$B$22,Variables!$B$12,0)</f>
        <v/>
      </c>
      <c r="H230" s="11">
        <f>IF(AND(A230&gt;Variables!$B$22,Variables!$B$14="Yes"),Variables!$B$13,0)</f>
        <v/>
      </c>
      <c r="I230" s="11">
        <f>IF(AA230&gt;Variables!$B$18,0,IF(AA230&gt;Variables!$B$19,CEILING((AA230-Variables!$B$19)/Variables!$B$21,1)*Variables!$B$20,0))</f>
        <v/>
      </c>
      <c r="J230" s="11">
        <f>IF(AA230&lt;=Variables!$B$18,MIN(Variables!$B$9-Variables!$B$8+I230,Variables!$B$26),0)</f>
        <v/>
      </c>
      <c r="K230" s="11">
        <f>IF(AA230&lt;=Variables!$B$18,Variables!$B$27,0)</f>
        <v/>
      </c>
      <c r="L230" s="11">
        <f>IF(AA230&gt;Variables!$B$18,G230+H230,Variables!$B$26-J230)</f>
        <v/>
      </c>
      <c r="M230" s="11">
        <f>IF(AA230&gt;Variables!$B$18,Variables!$B$2-G230-H230,J230+K230)</f>
        <v/>
      </c>
      <c r="N230" s="11">
        <f>Variables!$B$9-AC230</f>
        <v/>
      </c>
      <c r="O230" s="12">
        <f>F230+N230</f>
        <v/>
      </c>
      <c r="P230" s="12">
        <f>MAX(0,C230+N230)</f>
        <v/>
      </c>
      <c r="Q230" s="12">
        <f>D230+MIN(0,C230+N230)</f>
        <v/>
      </c>
      <c r="R230">
        <f>IF(AA230&gt;Variables!$B$18,"Self-funder",IF(AA230&gt;Variables!$B$19,"Tariff band - council contributing","Council pays standard rate"))</f>
        <v/>
      </c>
      <c r="S230" s="12">
        <f>Variables!$B$18</f>
        <v/>
      </c>
      <c r="T230" s="12">
        <f>Variables!$B$19</f>
        <v/>
      </c>
      <c r="U230">
        <f>AA230&lt;=Variables!$B$18</f>
        <v/>
      </c>
      <c r="V230">
        <f>AA230&lt;=Variables!$B$19</f>
        <v/>
      </c>
      <c r="W230">
        <f>P230&lt;=0</f>
        <v/>
      </c>
      <c r="X230" s="12">
        <f>Variables!$B$28</f>
        <v/>
      </c>
      <c r="Y230">
        <f>AB230&lt;=Variables!$B$28</f>
        <v/>
      </c>
      <c r="Z230">
        <f>AB230&lt;=Variables!$B$18</f>
        <v/>
      </c>
      <c r="AA230" s="12">
        <f>AB229</f>
        <v/>
      </c>
      <c r="AB230" s="12">
        <f>AA230+Variables!$B$9-M230</f>
        <v/>
      </c>
      <c r="AC230" s="11">
        <f>IF(MOD(A230-1,Variables!$B$30)=0,Variables!$B$30*M230,0)</f>
        <v/>
      </c>
      <c r="AD230" s="12">
        <f>IF(A230=MATCH(TRUE,$Y$2:$Y$261,0),MAX($AB$2:$AB$261),IF(A230=MATCH(TRUE,$Y$2:$Y$261,0)-1,0,NA()))</f>
        <v/>
      </c>
      <c r="AE230" s="12">
        <f>IF(A230=MATCH(TRUE,$Z$2:$Z$261,0),MAX($AB$2:$AB$261),IF(A230=MATCH(TRUE,$Z$2:$Z$261,0)-1,0,NA()))</f>
        <v/>
      </c>
    </row>
    <row r="231">
      <c r="A231" t="n">
        <v>230</v>
      </c>
      <c r="B231" s="14">
        <f>Variables!$B$24+(A231-1)*7</f>
        <v/>
      </c>
      <c r="C231" s="12">
        <f>P230</f>
        <v/>
      </c>
      <c r="D231" s="12">
        <f>Q230</f>
        <v/>
      </c>
      <c r="E231" s="12">
        <f>C231+IF(A231&gt;Variables!$B$25,D231,0)</f>
        <v/>
      </c>
      <c r="F231" s="12">
        <f>C231+D231</f>
        <v/>
      </c>
      <c r="G231" s="11">
        <f>IF(A231&gt;Variables!$B$22,Variables!$B$12,0)</f>
        <v/>
      </c>
      <c r="H231" s="11">
        <f>IF(AND(A231&gt;Variables!$B$22,Variables!$B$14="Yes"),Variables!$B$13,0)</f>
        <v/>
      </c>
      <c r="I231" s="11">
        <f>IF(AA231&gt;Variables!$B$18,0,IF(AA231&gt;Variables!$B$19,CEILING((AA231-Variables!$B$19)/Variables!$B$21,1)*Variables!$B$20,0))</f>
        <v/>
      </c>
      <c r="J231" s="11">
        <f>IF(AA231&lt;=Variables!$B$18,MIN(Variables!$B$9-Variables!$B$8+I231,Variables!$B$26),0)</f>
        <v/>
      </c>
      <c r="K231" s="11">
        <f>IF(AA231&lt;=Variables!$B$18,Variables!$B$27,0)</f>
        <v/>
      </c>
      <c r="L231" s="11">
        <f>IF(AA231&gt;Variables!$B$18,G231+H231,Variables!$B$26-J231)</f>
        <v/>
      </c>
      <c r="M231" s="11">
        <f>IF(AA231&gt;Variables!$B$18,Variables!$B$2-G231-H231,J231+K231)</f>
        <v/>
      </c>
      <c r="N231" s="11">
        <f>Variables!$B$9-AC231</f>
        <v/>
      </c>
      <c r="O231" s="12">
        <f>F231+N231</f>
        <v/>
      </c>
      <c r="P231" s="12">
        <f>MAX(0,C231+N231)</f>
        <v/>
      </c>
      <c r="Q231" s="12">
        <f>D231+MIN(0,C231+N231)</f>
        <v/>
      </c>
      <c r="R231">
        <f>IF(AA231&gt;Variables!$B$18,"Self-funder",IF(AA231&gt;Variables!$B$19,"Tariff band - council contributing","Council pays standard rate"))</f>
        <v/>
      </c>
      <c r="S231" s="12">
        <f>Variables!$B$18</f>
        <v/>
      </c>
      <c r="T231" s="12">
        <f>Variables!$B$19</f>
        <v/>
      </c>
      <c r="U231">
        <f>AA231&lt;=Variables!$B$18</f>
        <v/>
      </c>
      <c r="V231">
        <f>AA231&lt;=Variables!$B$19</f>
        <v/>
      </c>
      <c r="W231">
        <f>P231&lt;=0</f>
        <v/>
      </c>
      <c r="X231" s="12">
        <f>Variables!$B$28</f>
        <v/>
      </c>
      <c r="Y231">
        <f>AB231&lt;=Variables!$B$28</f>
        <v/>
      </c>
      <c r="Z231">
        <f>AB231&lt;=Variables!$B$18</f>
        <v/>
      </c>
      <c r="AA231" s="12">
        <f>AB230</f>
        <v/>
      </c>
      <c r="AB231" s="12">
        <f>AA231+Variables!$B$9-M231</f>
        <v/>
      </c>
      <c r="AC231" s="11">
        <f>IF(MOD(A231-1,Variables!$B$30)=0,Variables!$B$30*M231,0)</f>
        <v/>
      </c>
      <c r="AD231" s="12">
        <f>IF(A231=MATCH(TRUE,$Y$2:$Y$261,0),MAX($AB$2:$AB$261),IF(A231=MATCH(TRUE,$Y$2:$Y$261,0)-1,0,NA()))</f>
        <v/>
      </c>
      <c r="AE231" s="12">
        <f>IF(A231=MATCH(TRUE,$Z$2:$Z$261,0),MAX($AB$2:$AB$261),IF(A231=MATCH(TRUE,$Z$2:$Z$261,0)-1,0,NA()))</f>
        <v/>
      </c>
    </row>
    <row r="232">
      <c r="A232" t="n">
        <v>231</v>
      </c>
      <c r="B232" s="14">
        <f>Variables!$B$24+(A232-1)*7</f>
        <v/>
      </c>
      <c r="C232" s="12">
        <f>P231</f>
        <v/>
      </c>
      <c r="D232" s="12">
        <f>Q231</f>
        <v/>
      </c>
      <c r="E232" s="12">
        <f>C232+IF(A232&gt;Variables!$B$25,D232,0)</f>
        <v/>
      </c>
      <c r="F232" s="12">
        <f>C232+D232</f>
        <v/>
      </c>
      <c r="G232" s="11">
        <f>IF(A232&gt;Variables!$B$22,Variables!$B$12,0)</f>
        <v/>
      </c>
      <c r="H232" s="11">
        <f>IF(AND(A232&gt;Variables!$B$22,Variables!$B$14="Yes"),Variables!$B$13,0)</f>
        <v/>
      </c>
      <c r="I232" s="11">
        <f>IF(AA232&gt;Variables!$B$18,0,IF(AA232&gt;Variables!$B$19,CEILING((AA232-Variables!$B$19)/Variables!$B$21,1)*Variables!$B$20,0))</f>
        <v/>
      </c>
      <c r="J232" s="11">
        <f>IF(AA232&lt;=Variables!$B$18,MIN(Variables!$B$9-Variables!$B$8+I232,Variables!$B$26),0)</f>
        <v/>
      </c>
      <c r="K232" s="11">
        <f>IF(AA232&lt;=Variables!$B$18,Variables!$B$27,0)</f>
        <v/>
      </c>
      <c r="L232" s="11">
        <f>IF(AA232&gt;Variables!$B$18,G232+H232,Variables!$B$26-J232)</f>
        <v/>
      </c>
      <c r="M232" s="11">
        <f>IF(AA232&gt;Variables!$B$18,Variables!$B$2-G232-H232,J232+K232)</f>
        <v/>
      </c>
      <c r="N232" s="11">
        <f>Variables!$B$9-AC232</f>
        <v/>
      </c>
      <c r="O232" s="12">
        <f>F232+N232</f>
        <v/>
      </c>
      <c r="P232" s="12">
        <f>MAX(0,C232+N232)</f>
        <v/>
      </c>
      <c r="Q232" s="12">
        <f>D232+MIN(0,C232+N232)</f>
        <v/>
      </c>
      <c r="R232">
        <f>IF(AA232&gt;Variables!$B$18,"Self-funder",IF(AA232&gt;Variables!$B$19,"Tariff band - council contributing","Council pays standard rate"))</f>
        <v/>
      </c>
      <c r="S232" s="12">
        <f>Variables!$B$18</f>
        <v/>
      </c>
      <c r="T232" s="12">
        <f>Variables!$B$19</f>
        <v/>
      </c>
      <c r="U232">
        <f>AA232&lt;=Variables!$B$18</f>
        <v/>
      </c>
      <c r="V232">
        <f>AA232&lt;=Variables!$B$19</f>
        <v/>
      </c>
      <c r="W232">
        <f>P232&lt;=0</f>
        <v/>
      </c>
      <c r="X232" s="12">
        <f>Variables!$B$28</f>
        <v/>
      </c>
      <c r="Y232">
        <f>AB232&lt;=Variables!$B$28</f>
        <v/>
      </c>
      <c r="Z232">
        <f>AB232&lt;=Variables!$B$18</f>
        <v/>
      </c>
      <c r="AA232" s="12">
        <f>AB231</f>
        <v/>
      </c>
      <c r="AB232" s="12">
        <f>AA232+Variables!$B$9-M232</f>
        <v/>
      </c>
      <c r="AC232" s="11">
        <f>IF(MOD(A232-1,Variables!$B$30)=0,Variables!$B$30*M232,0)</f>
        <v/>
      </c>
      <c r="AD232" s="12">
        <f>IF(A232=MATCH(TRUE,$Y$2:$Y$261,0),MAX($AB$2:$AB$261),IF(A232=MATCH(TRUE,$Y$2:$Y$261,0)-1,0,NA()))</f>
        <v/>
      </c>
      <c r="AE232" s="12">
        <f>IF(A232=MATCH(TRUE,$Z$2:$Z$261,0),MAX($AB$2:$AB$261),IF(A232=MATCH(TRUE,$Z$2:$Z$261,0)-1,0,NA()))</f>
        <v/>
      </c>
    </row>
    <row r="233">
      <c r="A233" t="n">
        <v>232</v>
      </c>
      <c r="B233" s="14">
        <f>Variables!$B$24+(A233-1)*7</f>
        <v/>
      </c>
      <c r="C233" s="12">
        <f>P232</f>
        <v/>
      </c>
      <c r="D233" s="12">
        <f>Q232</f>
        <v/>
      </c>
      <c r="E233" s="12">
        <f>C233+IF(A233&gt;Variables!$B$25,D233,0)</f>
        <v/>
      </c>
      <c r="F233" s="12">
        <f>C233+D233</f>
        <v/>
      </c>
      <c r="G233" s="11">
        <f>IF(A233&gt;Variables!$B$22,Variables!$B$12,0)</f>
        <v/>
      </c>
      <c r="H233" s="11">
        <f>IF(AND(A233&gt;Variables!$B$22,Variables!$B$14="Yes"),Variables!$B$13,0)</f>
        <v/>
      </c>
      <c r="I233" s="11">
        <f>IF(AA233&gt;Variables!$B$18,0,IF(AA233&gt;Variables!$B$19,CEILING((AA233-Variables!$B$19)/Variables!$B$21,1)*Variables!$B$20,0))</f>
        <v/>
      </c>
      <c r="J233" s="11">
        <f>IF(AA233&lt;=Variables!$B$18,MIN(Variables!$B$9-Variables!$B$8+I233,Variables!$B$26),0)</f>
        <v/>
      </c>
      <c r="K233" s="11">
        <f>IF(AA233&lt;=Variables!$B$18,Variables!$B$27,0)</f>
        <v/>
      </c>
      <c r="L233" s="11">
        <f>IF(AA233&gt;Variables!$B$18,G233+H233,Variables!$B$26-J233)</f>
        <v/>
      </c>
      <c r="M233" s="11">
        <f>IF(AA233&gt;Variables!$B$18,Variables!$B$2-G233-H233,J233+K233)</f>
        <v/>
      </c>
      <c r="N233" s="11">
        <f>Variables!$B$9-AC233</f>
        <v/>
      </c>
      <c r="O233" s="12">
        <f>F233+N233</f>
        <v/>
      </c>
      <c r="P233" s="12">
        <f>MAX(0,C233+N233)</f>
        <v/>
      </c>
      <c r="Q233" s="12">
        <f>D233+MIN(0,C233+N233)</f>
        <v/>
      </c>
      <c r="R233">
        <f>IF(AA233&gt;Variables!$B$18,"Self-funder",IF(AA233&gt;Variables!$B$19,"Tariff band - council contributing","Council pays standard rate"))</f>
        <v/>
      </c>
      <c r="S233" s="12">
        <f>Variables!$B$18</f>
        <v/>
      </c>
      <c r="T233" s="12">
        <f>Variables!$B$19</f>
        <v/>
      </c>
      <c r="U233">
        <f>AA233&lt;=Variables!$B$18</f>
        <v/>
      </c>
      <c r="V233">
        <f>AA233&lt;=Variables!$B$19</f>
        <v/>
      </c>
      <c r="W233">
        <f>P233&lt;=0</f>
        <v/>
      </c>
      <c r="X233" s="12">
        <f>Variables!$B$28</f>
        <v/>
      </c>
      <c r="Y233">
        <f>AB233&lt;=Variables!$B$28</f>
        <v/>
      </c>
      <c r="Z233">
        <f>AB233&lt;=Variables!$B$18</f>
        <v/>
      </c>
      <c r="AA233" s="12">
        <f>AB232</f>
        <v/>
      </c>
      <c r="AB233" s="12">
        <f>AA233+Variables!$B$9-M233</f>
        <v/>
      </c>
      <c r="AC233" s="11">
        <f>IF(MOD(A233-1,Variables!$B$30)=0,Variables!$B$30*M233,0)</f>
        <v/>
      </c>
      <c r="AD233" s="12">
        <f>IF(A233=MATCH(TRUE,$Y$2:$Y$261,0),MAX($AB$2:$AB$261),IF(A233=MATCH(TRUE,$Y$2:$Y$261,0)-1,0,NA()))</f>
        <v/>
      </c>
      <c r="AE233" s="12">
        <f>IF(A233=MATCH(TRUE,$Z$2:$Z$261,0),MAX($AB$2:$AB$261),IF(A233=MATCH(TRUE,$Z$2:$Z$261,0)-1,0,NA()))</f>
        <v/>
      </c>
    </row>
    <row r="234">
      <c r="A234" t="n">
        <v>233</v>
      </c>
      <c r="B234" s="14">
        <f>Variables!$B$24+(A234-1)*7</f>
        <v/>
      </c>
      <c r="C234" s="12">
        <f>P233</f>
        <v/>
      </c>
      <c r="D234" s="12">
        <f>Q233</f>
        <v/>
      </c>
      <c r="E234" s="12">
        <f>C234+IF(A234&gt;Variables!$B$25,D234,0)</f>
        <v/>
      </c>
      <c r="F234" s="12">
        <f>C234+D234</f>
        <v/>
      </c>
      <c r="G234" s="11">
        <f>IF(A234&gt;Variables!$B$22,Variables!$B$12,0)</f>
        <v/>
      </c>
      <c r="H234" s="11">
        <f>IF(AND(A234&gt;Variables!$B$22,Variables!$B$14="Yes"),Variables!$B$13,0)</f>
        <v/>
      </c>
      <c r="I234" s="11">
        <f>IF(AA234&gt;Variables!$B$18,0,IF(AA234&gt;Variables!$B$19,CEILING((AA234-Variables!$B$19)/Variables!$B$21,1)*Variables!$B$20,0))</f>
        <v/>
      </c>
      <c r="J234" s="11">
        <f>IF(AA234&lt;=Variables!$B$18,MIN(Variables!$B$9-Variables!$B$8+I234,Variables!$B$26),0)</f>
        <v/>
      </c>
      <c r="K234" s="11">
        <f>IF(AA234&lt;=Variables!$B$18,Variables!$B$27,0)</f>
        <v/>
      </c>
      <c r="L234" s="11">
        <f>IF(AA234&gt;Variables!$B$18,G234+H234,Variables!$B$26-J234)</f>
        <v/>
      </c>
      <c r="M234" s="11">
        <f>IF(AA234&gt;Variables!$B$18,Variables!$B$2-G234-H234,J234+K234)</f>
        <v/>
      </c>
      <c r="N234" s="11">
        <f>Variables!$B$9-AC234</f>
        <v/>
      </c>
      <c r="O234" s="12">
        <f>F234+N234</f>
        <v/>
      </c>
      <c r="P234" s="12">
        <f>MAX(0,C234+N234)</f>
        <v/>
      </c>
      <c r="Q234" s="12">
        <f>D234+MIN(0,C234+N234)</f>
        <v/>
      </c>
      <c r="R234">
        <f>IF(AA234&gt;Variables!$B$18,"Self-funder",IF(AA234&gt;Variables!$B$19,"Tariff band - council contributing","Council pays standard rate"))</f>
        <v/>
      </c>
      <c r="S234" s="12">
        <f>Variables!$B$18</f>
        <v/>
      </c>
      <c r="T234" s="12">
        <f>Variables!$B$19</f>
        <v/>
      </c>
      <c r="U234">
        <f>AA234&lt;=Variables!$B$18</f>
        <v/>
      </c>
      <c r="V234">
        <f>AA234&lt;=Variables!$B$19</f>
        <v/>
      </c>
      <c r="W234">
        <f>P234&lt;=0</f>
        <v/>
      </c>
      <c r="X234" s="12">
        <f>Variables!$B$28</f>
        <v/>
      </c>
      <c r="Y234">
        <f>AB234&lt;=Variables!$B$28</f>
        <v/>
      </c>
      <c r="Z234">
        <f>AB234&lt;=Variables!$B$18</f>
        <v/>
      </c>
      <c r="AA234" s="12">
        <f>AB233</f>
        <v/>
      </c>
      <c r="AB234" s="12">
        <f>AA234+Variables!$B$9-M234</f>
        <v/>
      </c>
      <c r="AC234" s="11">
        <f>IF(MOD(A234-1,Variables!$B$30)=0,Variables!$B$30*M234,0)</f>
        <v/>
      </c>
      <c r="AD234" s="12">
        <f>IF(A234=MATCH(TRUE,$Y$2:$Y$261,0),MAX($AB$2:$AB$261),IF(A234=MATCH(TRUE,$Y$2:$Y$261,0)-1,0,NA()))</f>
        <v/>
      </c>
      <c r="AE234" s="12">
        <f>IF(A234=MATCH(TRUE,$Z$2:$Z$261,0),MAX($AB$2:$AB$261),IF(A234=MATCH(TRUE,$Z$2:$Z$261,0)-1,0,NA()))</f>
        <v/>
      </c>
    </row>
    <row r="235">
      <c r="A235" t="n">
        <v>234</v>
      </c>
      <c r="B235" s="14">
        <f>Variables!$B$24+(A235-1)*7</f>
        <v/>
      </c>
      <c r="C235" s="12">
        <f>P234</f>
        <v/>
      </c>
      <c r="D235" s="12">
        <f>Q234</f>
        <v/>
      </c>
      <c r="E235" s="12">
        <f>C235+IF(A235&gt;Variables!$B$25,D235,0)</f>
        <v/>
      </c>
      <c r="F235" s="12">
        <f>C235+D235</f>
        <v/>
      </c>
      <c r="G235" s="11">
        <f>IF(A235&gt;Variables!$B$22,Variables!$B$12,0)</f>
        <v/>
      </c>
      <c r="H235" s="11">
        <f>IF(AND(A235&gt;Variables!$B$22,Variables!$B$14="Yes"),Variables!$B$13,0)</f>
        <v/>
      </c>
      <c r="I235" s="11">
        <f>IF(AA235&gt;Variables!$B$18,0,IF(AA235&gt;Variables!$B$19,CEILING((AA235-Variables!$B$19)/Variables!$B$21,1)*Variables!$B$20,0))</f>
        <v/>
      </c>
      <c r="J235" s="11">
        <f>IF(AA235&lt;=Variables!$B$18,MIN(Variables!$B$9-Variables!$B$8+I235,Variables!$B$26),0)</f>
        <v/>
      </c>
      <c r="K235" s="11">
        <f>IF(AA235&lt;=Variables!$B$18,Variables!$B$27,0)</f>
        <v/>
      </c>
      <c r="L235" s="11">
        <f>IF(AA235&gt;Variables!$B$18,G235+H235,Variables!$B$26-J235)</f>
        <v/>
      </c>
      <c r="M235" s="11">
        <f>IF(AA235&gt;Variables!$B$18,Variables!$B$2-G235-H235,J235+K235)</f>
        <v/>
      </c>
      <c r="N235" s="11">
        <f>Variables!$B$9-AC235</f>
        <v/>
      </c>
      <c r="O235" s="12">
        <f>F235+N235</f>
        <v/>
      </c>
      <c r="P235" s="12">
        <f>MAX(0,C235+N235)</f>
        <v/>
      </c>
      <c r="Q235" s="12">
        <f>D235+MIN(0,C235+N235)</f>
        <v/>
      </c>
      <c r="R235">
        <f>IF(AA235&gt;Variables!$B$18,"Self-funder",IF(AA235&gt;Variables!$B$19,"Tariff band - council contributing","Council pays standard rate"))</f>
        <v/>
      </c>
      <c r="S235" s="12">
        <f>Variables!$B$18</f>
        <v/>
      </c>
      <c r="T235" s="12">
        <f>Variables!$B$19</f>
        <v/>
      </c>
      <c r="U235">
        <f>AA235&lt;=Variables!$B$18</f>
        <v/>
      </c>
      <c r="V235">
        <f>AA235&lt;=Variables!$B$19</f>
        <v/>
      </c>
      <c r="W235">
        <f>P235&lt;=0</f>
        <v/>
      </c>
      <c r="X235" s="12">
        <f>Variables!$B$28</f>
        <v/>
      </c>
      <c r="Y235">
        <f>AB235&lt;=Variables!$B$28</f>
        <v/>
      </c>
      <c r="Z235">
        <f>AB235&lt;=Variables!$B$18</f>
        <v/>
      </c>
      <c r="AA235" s="12">
        <f>AB234</f>
        <v/>
      </c>
      <c r="AB235" s="12">
        <f>AA235+Variables!$B$9-M235</f>
        <v/>
      </c>
      <c r="AC235" s="11">
        <f>IF(MOD(A235-1,Variables!$B$30)=0,Variables!$B$30*M235,0)</f>
        <v/>
      </c>
      <c r="AD235" s="12">
        <f>IF(A235=MATCH(TRUE,$Y$2:$Y$261,0),MAX($AB$2:$AB$261),IF(A235=MATCH(TRUE,$Y$2:$Y$261,0)-1,0,NA()))</f>
        <v/>
      </c>
      <c r="AE235" s="12">
        <f>IF(A235=MATCH(TRUE,$Z$2:$Z$261,0),MAX($AB$2:$AB$261),IF(A235=MATCH(TRUE,$Z$2:$Z$261,0)-1,0,NA()))</f>
        <v/>
      </c>
    </row>
    <row r="236">
      <c r="A236" t="n">
        <v>235</v>
      </c>
      <c r="B236" s="14">
        <f>Variables!$B$24+(A236-1)*7</f>
        <v/>
      </c>
      <c r="C236" s="12">
        <f>P235</f>
        <v/>
      </c>
      <c r="D236" s="12">
        <f>Q235</f>
        <v/>
      </c>
      <c r="E236" s="12">
        <f>C236+IF(A236&gt;Variables!$B$25,D236,0)</f>
        <v/>
      </c>
      <c r="F236" s="12">
        <f>C236+D236</f>
        <v/>
      </c>
      <c r="G236" s="11">
        <f>IF(A236&gt;Variables!$B$22,Variables!$B$12,0)</f>
        <v/>
      </c>
      <c r="H236" s="11">
        <f>IF(AND(A236&gt;Variables!$B$22,Variables!$B$14="Yes"),Variables!$B$13,0)</f>
        <v/>
      </c>
      <c r="I236" s="11">
        <f>IF(AA236&gt;Variables!$B$18,0,IF(AA236&gt;Variables!$B$19,CEILING((AA236-Variables!$B$19)/Variables!$B$21,1)*Variables!$B$20,0))</f>
        <v/>
      </c>
      <c r="J236" s="11">
        <f>IF(AA236&lt;=Variables!$B$18,MIN(Variables!$B$9-Variables!$B$8+I236,Variables!$B$26),0)</f>
        <v/>
      </c>
      <c r="K236" s="11">
        <f>IF(AA236&lt;=Variables!$B$18,Variables!$B$27,0)</f>
        <v/>
      </c>
      <c r="L236" s="11">
        <f>IF(AA236&gt;Variables!$B$18,G236+H236,Variables!$B$26-J236)</f>
        <v/>
      </c>
      <c r="M236" s="11">
        <f>IF(AA236&gt;Variables!$B$18,Variables!$B$2-G236-H236,J236+K236)</f>
        <v/>
      </c>
      <c r="N236" s="11">
        <f>Variables!$B$9-AC236</f>
        <v/>
      </c>
      <c r="O236" s="12">
        <f>F236+N236</f>
        <v/>
      </c>
      <c r="P236" s="12">
        <f>MAX(0,C236+N236)</f>
        <v/>
      </c>
      <c r="Q236" s="12">
        <f>D236+MIN(0,C236+N236)</f>
        <v/>
      </c>
      <c r="R236">
        <f>IF(AA236&gt;Variables!$B$18,"Self-funder",IF(AA236&gt;Variables!$B$19,"Tariff band - council contributing","Council pays standard rate"))</f>
        <v/>
      </c>
      <c r="S236" s="12">
        <f>Variables!$B$18</f>
        <v/>
      </c>
      <c r="T236" s="12">
        <f>Variables!$B$19</f>
        <v/>
      </c>
      <c r="U236">
        <f>AA236&lt;=Variables!$B$18</f>
        <v/>
      </c>
      <c r="V236">
        <f>AA236&lt;=Variables!$B$19</f>
        <v/>
      </c>
      <c r="W236">
        <f>P236&lt;=0</f>
        <v/>
      </c>
      <c r="X236" s="12">
        <f>Variables!$B$28</f>
        <v/>
      </c>
      <c r="Y236">
        <f>AB236&lt;=Variables!$B$28</f>
        <v/>
      </c>
      <c r="Z236">
        <f>AB236&lt;=Variables!$B$18</f>
        <v/>
      </c>
      <c r="AA236" s="12">
        <f>AB235</f>
        <v/>
      </c>
      <c r="AB236" s="12">
        <f>AA236+Variables!$B$9-M236</f>
        <v/>
      </c>
      <c r="AC236" s="11">
        <f>IF(MOD(A236-1,Variables!$B$30)=0,Variables!$B$30*M236,0)</f>
        <v/>
      </c>
      <c r="AD236" s="12">
        <f>IF(A236=MATCH(TRUE,$Y$2:$Y$261,0),MAX($AB$2:$AB$261),IF(A236=MATCH(TRUE,$Y$2:$Y$261,0)-1,0,NA()))</f>
        <v/>
      </c>
      <c r="AE236" s="12">
        <f>IF(A236=MATCH(TRUE,$Z$2:$Z$261,0),MAX($AB$2:$AB$261),IF(A236=MATCH(TRUE,$Z$2:$Z$261,0)-1,0,NA()))</f>
        <v/>
      </c>
    </row>
    <row r="237">
      <c r="A237" t="n">
        <v>236</v>
      </c>
      <c r="B237" s="14">
        <f>Variables!$B$24+(A237-1)*7</f>
        <v/>
      </c>
      <c r="C237" s="12">
        <f>P236</f>
        <v/>
      </c>
      <c r="D237" s="12">
        <f>Q236</f>
        <v/>
      </c>
      <c r="E237" s="12">
        <f>C237+IF(A237&gt;Variables!$B$25,D237,0)</f>
        <v/>
      </c>
      <c r="F237" s="12">
        <f>C237+D237</f>
        <v/>
      </c>
      <c r="G237" s="11">
        <f>IF(A237&gt;Variables!$B$22,Variables!$B$12,0)</f>
        <v/>
      </c>
      <c r="H237" s="11">
        <f>IF(AND(A237&gt;Variables!$B$22,Variables!$B$14="Yes"),Variables!$B$13,0)</f>
        <v/>
      </c>
      <c r="I237" s="11">
        <f>IF(AA237&gt;Variables!$B$18,0,IF(AA237&gt;Variables!$B$19,CEILING((AA237-Variables!$B$19)/Variables!$B$21,1)*Variables!$B$20,0))</f>
        <v/>
      </c>
      <c r="J237" s="11">
        <f>IF(AA237&lt;=Variables!$B$18,MIN(Variables!$B$9-Variables!$B$8+I237,Variables!$B$26),0)</f>
        <v/>
      </c>
      <c r="K237" s="11">
        <f>IF(AA237&lt;=Variables!$B$18,Variables!$B$27,0)</f>
        <v/>
      </c>
      <c r="L237" s="11">
        <f>IF(AA237&gt;Variables!$B$18,G237+H237,Variables!$B$26-J237)</f>
        <v/>
      </c>
      <c r="M237" s="11">
        <f>IF(AA237&gt;Variables!$B$18,Variables!$B$2-G237-H237,J237+K237)</f>
        <v/>
      </c>
      <c r="N237" s="11">
        <f>Variables!$B$9-AC237</f>
        <v/>
      </c>
      <c r="O237" s="12">
        <f>F237+N237</f>
        <v/>
      </c>
      <c r="P237" s="12">
        <f>MAX(0,C237+N237)</f>
        <v/>
      </c>
      <c r="Q237" s="12">
        <f>D237+MIN(0,C237+N237)</f>
        <v/>
      </c>
      <c r="R237">
        <f>IF(AA237&gt;Variables!$B$18,"Self-funder",IF(AA237&gt;Variables!$B$19,"Tariff band - council contributing","Council pays standard rate"))</f>
        <v/>
      </c>
      <c r="S237" s="12">
        <f>Variables!$B$18</f>
        <v/>
      </c>
      <c r="T237" s="12">
        <f>Variables!$B$19</f>
        <v/>
      </c>
      <c r="U237">
        <f>AA237&lt;=Variables!$B$18</f>
        <v/>
      </c>
      <c r="V237">
        <f>AA237&lt;=Variables!$B$19</f>
        <v/>
      </c>
      <c r="W237">
        <f>P237&lt;=0</f>
        <v/>
      </c>
      <c r="X237" s="12">
        <f>Variables!$B$28</f>
        <v/>
      </c>
      <c r="Y237">
        <f>AB237&lt;=Variables!$B$28</f>
        <v/>
      </c>
      <c r="Z237">
        <f>AB237&lt;=Variables!$B$18</f>
        <v/>
      </c>
      <c r="AA237" s="12">
        <f>AB236</f>
        <v/>
      </c>
      <c r="AB237" s="12">
        <f>AA237+Variables!$B$9-M237</f>
        <v/>
      </c>
      <c r="AC237" s="11">
        <f>IF(MOD(A237-1,Variables!$B$30)=0,Variables!$B$30*M237,0)</f>
        <v/>
      </c>
      <c r="AD237" s="12">
        <f>IF(A237=MATCH(TRUE,$Y$2:$Y$261,0),MAX($AB$2:$AB$261),IF(A237=MATCH(TRUE,$Y$2:$Y$261,0)-1,0,NA()))</f>
        <v/>
      </c>
      <c r="AE237" s="12">
        <f>IF(A237=MATCH(TRUE,$Z$2:$Z$261,0),MAX($AB$2:$AB$261),IF(A237=MATCH(TRUE,$Z$2:$Z$261,0)-1,0,NA()))</f>
        <v/>
      </c>
    </row>
    <row r="238">
      <c r="A238" t="n">
        <v>237</v>
      </c>
      <c r="B238" s="14">
        <f>Variables!$B$24+(A238-1)*7</f>
        <v/>
      </c>
      <c r="C238" s="12">
        <f>P237</f>
        <v/>
      </c>
      <c r="D238" s="12">
        <f>Q237</f>
        <v/>
      </c>
      <c r="E238" s="12">
        <f>C238+IF(A238&gt;Variables!$B$25,D238,0)</f>
        <v/>
      </c>
      <c r="F238" s="12">
        <f>C238+D238</f>
        <v/>
      </c>
      <c r="G238" s="11">
        <f>IF(A238&gt;Variables!$B$22,Variables!$B$12,0)</f>
        <v/>
      </c>
      <c r="H238" s="11">
        <f>IF(AND(A238&gt;Variables!$B$22,Variables!$B$14="Yes"),Variables!$B$13,0)</f>
        <v/>
      </c>
      <c r="I238" s="11">
        <f>IF(AA238&gt;Variables!$B$18,0,IF(AA238&gt;Variables!$B$19,CEILING((AA238-Variables!$B$19)/Variables!$B$21,1)*Variables!$B$20,0))</f>
        <v/>
      </c>
      <c r="J238" s="11">
        <f>IF(AA238&lt;=Variables!$B$18,MIN(Variables!$B$9-Variables!$B$8+I238,Variables!$B$26),0)</f>
        <v/>
      </c>
      <c r="K238" s="11">
        <f>IF(AA238&lt;=Variables!$B$18,Variables!$B$27,0)</f>
        <v/>
      </c>
      <c r="L238" s="11">
        <f>IF(AA238&gt;Variables!$B$18,G238+H238,Variables!$B$26-J238)</f>
        <v/>
      </c>
      <c r="M238" s="11">
        <f>IF(AA238&gt;Variables!$B$18,Variables!$B$2-G238-H238,J238+K238)</f>
        <v/>
      </c>
      <c r="N238" s="11">
        <f>Variables!$B$9-AC238</f>
        <v/>
      </c>
      <c r="O238" s="12">
        <f>F238+N238</f>
        <v/>
      </c>
      <c r="P238" s="12">
        <f>MAX(0,C238+N238)</f>
        <v/>
      </c>
      <c r="Q238" s="12">
        <f>D238+MIN(0,C238+N238)</f>
        <v/>
      </c>
      <c r="R238">
        <f>IF(AA238&gt;Variables!$B$18,"Self-funder",IF(AA238&gt;Variables!$B$19,"Tariff band - council contributing","Council pays standard rate"))</f>
        <v/>
      </c>
      <c r="S238" s="12">
        <f>Variables!$B$18</f>
        <v/>
      </c>
      <c r="T238" s="12">
        <f>Variables!$B$19</f>
        <v/>
      </c>
      <c r="U238">
        <f>AA238&lt;=Variables!$B$18</f>
        <v/>
      </c>
      <c r="V238">
        <f>AA238&lt;=Variables!$B$19</f>
        <v/>
      </c>
      <c r="W238">
        <f>P238&lt;=0</f>
        <v/>
      </c>
      <c r="X238" s="12">
        <f>Variables!$B$28</f>
        <v/>
      </c>
      <c r="Y238">
        <f>AB238&lt;=Variables!$B$28</f>
        <v/>
      </c>
      <c r="Z238">
        <f>AB238&lt;=Variables!$B$18</f>
        <v/>
      </c>
      <c r="AA238" s="12">
        <f>AB237</f>
        <v/>
      </c>
      <c r="AB238" s="12">
        <f>AA238+Variables!$B$9-M238</f>
        <v/>
      </c>
      <c r="AC238" s="11">
        <f>IF(MOD(A238-1,Variables!$B$30)=0,Variables!$B$30*M238,0)</f>
        <v/>
      </c>
      <c r="AD238" s="12">
        <f>IF(A238=MATCH(TRUE,$Y$2:$Y$261,0),MAX($AB$2:$AB$261),IF(A238=MATCH(TRUE,$Y$2:$Y$261,0)-1,0,NA()))</f>
        <v/>
      </c>
      <c r="AE238" s="12">
        <f>IF(A238=MATCH(TRUE,$Z$2:$Z$261,0),MAX($AB$2:$AB$261),IF(A238=MATCH(TRUE,$Z$2:$Z$261,0)-1,0,NA()))</f>
        <v/>
      </c>
    </row>
    <row r="239">
      <c r="A239" t="n">
        <v>238</v>
      </c>
      <c r="B239" s="14">
        <f>Variables!$B$24+(A239-1)*7</f>
        <v/>
      </c>
      <c r="C239" s="12">
        <f>P238</f>
        <v/>
      </c>
      <c r="D239" s="12">
        <f>Q238</f>
        <v/>
      </c>
      <c r="E239" s="12">
        <f>C239+IF(A239&gt;Variables!$B$25,D239,0)</f>
        <v/>
      </c>
      <c r="F239" s="12">
        <f>C239+D239</f>
        <v/>
      </c>
      <c r="G239" s="11">
        <f>IF(A239&gt;Variables!$B$22,Variables!$B$12,0)</f>
        <v/>
      </c>
      <c r="H239" s="11">
        <f>IF(AND(A239&gt;Variables!$B$22,Variables!$B$14="Yes"),Variables!$B$13,0)</f>
        <v/>
      </c>
      <c r="I239" s="11">
        <f>IF(AA239&gt;Variables!$B$18,0,IF(AA239&gt;Variables!$B$19,CEILING((AA239-Variables!$B$19)/Variables!$B$21,1)*Variables!$B$20,0))</f>
        <v/>
      </c>
      <c r="J239" s="11">
        <f>IF(AA239&lt;=Variables!$B$18,MIN(Variables!$B$9-Variables!$B$8+I239,Variables!$B$26),0)</f>
        <v/>
      </c>
      <c r="K239" s="11">
        <f>IF(AA239&lt;=Variables!$B$18,Variables!$B$27,0)</f>
        <v/>
      </c>
      <c r="L239" s="11">
        <f>IF(AA239&gt;Variables!$B$18,G239+H239,Variables!$B$26-J239)</f>
        <v/>
      </c>
      <c r="M239" s="11">
        <f>IF(AA239&gt;Variables!$B$18,Variables!$B$2-G239-H239,J239+K239)</f>
        <v/>
      </c>
      <c r="N239" s="11">
        <f>Variables!$B$9-AC239</f>
        <v/>
      </c>
      <c r="O239" s="12">
        <f>F239+N239</f>
        <v/>
      </c>
      <c r="P239" s="12">
        <f>MAX(0,C239+N239)</f>
        <v/>
      </c>
      <c r="Q239" s="12">
        <f>D239+MIN(0,C239+N239)</f>
        <v/>
      </c>
      <c r="R239">
        <f>IF(AA239&gt;Variables!$B$18,"Self-funder",IF(AA239&gt;Variables!$B$19,"Tariff band - council contributing","Council pays standard rate"))</f>
        <v/>
      </c>
      <c r="S239" s="12">
        <f>Variables!$B$18</f>
        <v/>
      </c>
      <c r="T239" s="12">
        <f>Variables!$B$19</f>
        <v/>
      </c>
      <c r="U239">
        <f>AA239&lt;=Variables!$B$18</f>
        <v/>
      </c>
      <c r="V239">
        <f>AA239&lt;=Variables!$B$19</f>
        <v/>
      </c>
      <c r="W239">
        <f>P239&lt;=0</f>
        <v/>
      </c>
      <c r="X239" s="12">
        <f>Variables!$B$28</f>
        <v/>
      </c>
      <c r="Y239">
        <f>AB239&lt;=Variables!$B$28</f>
        <v/>
      </c>
      <c r="Z239">
        <f>AB239&lt;=Variables!$B$18</f>
        <v/>
      </c>
      <c r="AA239" s="12">
        <f>AB238</f>
        <v/>
      </c>
      <c r="AB239" s="12">
        <f>AA239+Variables!$B$9-M239</f>
        <v/>
      </c>
      <c r="AC239" s="11">
        <f>IF(MOD(A239-1,Variables!$B$30)=0,Variables!$B$30*M239,0)</f>
        <v/>
      </c>
      <c r="AD239" s="12">
        <f>IF(A239=MATCH(TRUE,$Y$2:$Y$261,0),MAX($AB$2:$AB$261),IF(A239=MATCH(TRUE,$Y$2:$Y$261,0)-1,0,NA()))</f>
        <v/>
      </c>
      <c r="AE239" s="12">
        <f>IF(A239=MATCH(TRUE,$Z$2:$Z$261,0),MAX($AB$2:$AB$261),IF(A239=MATCH(TRUE,$Z$2:$Z$261,0)-1,0,NA()))</f>
        <v/>
      </c>
    </row>
    <row r="240">
      <c r="A240" t="n">
        <v>239</v>
      </c>
      <c r="B240" s="14">
        <f>Variables!$B$24+(A240-1)*7</f>
        <v/>
      </c>
      <c r="C240" s="12">
        <f>P239</f>
        <v/>
      </c>
      <c r="D240" s="12">
        <f>Q239</f>
        <v/>
      </c>
      <c r="E240" s="12">
        <f>C240+IF(A240&gt;Variables!$B$25,D240,0)</f>
        <v/>
      </c>
      <c r="F240" s="12">
        <f>C240+D240</f>
        <v/>
      </c>
      <c r="G240" s="11">
        <f>IF(A240&gt;Variables!$B$22,Variables!$B$12,0)</f>
        <v/>
      </c>
      <c r="H240" s="11">
        <f>IF(AND(A240&gt;Variables!$B$22,Variables!$B$14="Yes"),Variables!$B$13,0)</f>
        <v/>
      </c>
      <c r="I240" s="11">
        <f>IF(AA240&gt;Variables!$B$18,0,IF(AA240&gt;Variables!$B$19,CEILING((AA240-Variables!$B$19)/Variables!$B$21,1)*Variables!$B$20,0))</f>
        <v/>
      </c>
      <c r="J240" s="11">
        <f>IF(AA240&lt;=Variables!$B$18,MIN(Variables!$B$9-Variables!$B$8+I240,Variables!$B$26),0)</f>
        <v/>
      </c>
      <c r="K240" s="11">
        <f>IF(AA240&lt;=Variables!$B$18,Variables!$B$27,0)</f>
        <v/>
      </c>
      <c r="L240" s="11">
        <f>IF(AA240&gt;Variables!$B$18,G240+H240,Variables!$B$26-J240)</f>
        <v/>
      </c>
      <c r="M240" s="11">
        <f>IF(AA240&gt;Variables!$B$18,Variables!$B$2-G240-H240,J240+K240)</f>
        <v/>
      </c>
      <c r="N240" s="11">
        <f>Variables!$B$9-AC240</f>
        <v/>
      </c>
      <c r="O240" s="12">
        <f>F240+N240</f>
        <v/>
      </c>
      <c r="P240" s="12">
        <f>MAX(0,C240+N240)</f>
        <v/>
      </c>
      <c r="Q240" s="12">
        <f>D240+MIN(0,C240+N240)</f>
        <v/>
      </c>
      <c r="R240">
        <f>IF(AA240&gt;Variables!$B$18,"Self-funder",IF(AA240&gt;Variables!$B$19,"Tariff band - council contributing","Council pays standard rate"))</f>
        <v/>
      </c>
      <c r="S240" s="12">
        <f>Variables!$B$18</f>
        <v/>
      </c>
      <c r="T240" s="12">
        <f>Variables!$B$19</f>
        <v/>
      </c>
      <c r="U240">
        <f>AA240&lt;=Variables!$B$18</f>
        <v/>
      </c>
      <c r="V240">
        <f>AA240&lt;=Variables!$B$19</f>
        <v/>
      </c>
      <c r="W240">
        <f>P240&lt;=0</f>
        <v/>
      </c>
      <c r="X240" s="12">
        <f>Variables!$B$28</f>
        <v/>
      </c>
      <c r="Y240">
        <f>AB240&lt;=Variables!$B$28</f>
        <v/>
      </c>
      <c r="Z240">
        <f>AB240&lt;=Variables!$B$18</f>
        <v/>
      </c>
      <c r="AA240" s="12">
        <f>AB239</f>
        <v/>
      </c>
      <c r="AB240" s="12">
        <f>AA240+Variables!$B$9-M240</f>
        <v/>
      </c>
      <c r="AC240" s="11">
        <f>IF(MOD(A240-1,Variables!$B$30)=0,Variables!$B$30*M240,0)</f>
        <v/>
      </c>
      <c r="AD240" s="12">
        <f>IF(A240=MATCH(TRUE,$Y$2:$Y$261,0),MAX($AB$2:$AB$261),IF(A240=MATCH(TRUE,$Y$2:$Y$261,0)-1,0,NA()))</f>
        <v/>
      </c>
      <c r="AE240" s="12">
        <f>IF(A240=MATCH(TRUE,$Z$2:$Z$261,0),MAX($AB$2:$AB$261),IF(A240=MATCH(TRUE,$Z$2:$Z$261,0)-1,0,NA()))</f>
        <v/>
      </c>
    </row>
    <row r="241">
      <c r="A241" t="n">
        <v>240</v>
      </c>
      <c r="B241" s="14">
        <f>Variables!$B$24+(A241-1)*7</f>
        <v/>
      </c>
      <c r="C241" s="12">
        <f>P240</f>
        <v/>
      </c>
      <c r="D241" s="12">
        <f>Q240</f>
        <v/>
      </c>
      <c r="E241" s="12">
        <f>C241+IF(A241&gt;Variables!$B$25,D241,0)</f>
        <v/>
      </c>
      <c r="F241" s="12">
        <f>C241+D241</f>
        <v/>
      </c>
      <c r="G241" s="11">
        <f>IF(A241&gt;Variables!$B$22,Variables!$B$12,0)</f>
        <v/>
      </c>
      <c r="H241" s="11">
        <f>IF(AND(A241&gt;Variables!$B$22,Variables!$B$14="Yes"),Variables!$B$13,0)</f>
        <v/>
      </c>
      <c r="I241" s="11">
        <f>IF(AA241&gt;Variables!$B$18,0,IF(AA241&gt;Variables!$B$19,CEILING((AA241-Variables!$B$19)/Variables!$B$21,1)*Variables!$B$20,0))</f>
        <v/>
      </c>
      <c r="J241" s="11">
        <f>IF(AA241&lt;=Variables!$B$18,MIN(Variables!$B$9-Variables!$B$8+I241,Variables!$B$26),0)</f>
        <v/>
      </c>
      <c r="K241" s="11">
        <f>IF(AA241&lt;=Variables!$B$18,Variables!$B$27,0)</f>
        <v/>
      </c>
      <c r="L241" s="11">
        <f>IF(AA241&gt;Variables!$B$18,G241+H241,Variables!$B$26-J241)</f>
        <v/>
      </c>
      <c r="M241" s="11">
        <f>IF(AA241&gt;Variables!$B$18,Variables!$B$2-G241-H241,J241+K241)</f>
        <v/>
      </c>
      <c r="N241" s="11">
        <f>Variables!$B$9-AC241</f>
        <v/>
      </c>
      <c r="O241" s="12">
        <f>F241+N241</f>
        <v/>
      </c>
      <c r="P241" s="12">
        <f>MAX(0,C241+N241)</f>
        <v/>
      </c>
      <c r="Q241" s="12">
        <f>D241+MIN(0,C241+N241)</f>
        <v/>
      </c>
      <c r="R241">
        <f>IF(AA241&gt;Variables!$B$18,"Self-funder",IF(AA241&gt;Variables!$B$19,"Tariff band - council contributing","Council pays standard rate"))</f>
        <v/>
      </c>
      <c r="S241" s="12">
        <f>Variables!$B$18</f>
        <v/>
      </c>
      <c r="T241" s="12">
        <f>Variables!$B$19</f>
        <v/>
      </c>
      <c r="U241">
        <f>AA241&lt;=Variables!$B$18</f>
        <v/>
      </c>
      <c r="V241">
        <f>AA241&lt;=Variables!$B$19</f>
        <v/>
      </c>
      <c r="W241">
        <f>P241&lt;=0</f>
        <v/>
      </c>
      <c r="X241" s="12">
        <f>Variables!$B$28</f>
        <v/>
      </c>
      <c r="Y241">
        <f>AB241&lt;=Variables!$B$28</f>
        <v/>
      </c>
      <c r="Z241">
        <f>AB241&lt;=Variables!$B$18</f>
        <v/>
      </c>
      <c r="AA241" s="12">
        <f>AB240</f>
        <v/>
      </c>
      <c r="AB241" s="12">
        <f>AA241+Variables!$B$9-M241</f>
        <v/>
      </c>
      <c r="AC241" s="11">
        <f>IF(MOD(A241-1,Variables!$B$30)=0,Variables!$B$30*M241,0)</f>
        <v/>
      </c>
      <c r="AD241" s="12">
        <f>IF(A241=MATCH(TRUE,$Y$2:$Y$261,0),MAX($AB$2:$AB$261),IF(A241=MATCH(TRUE,$Y$2:$Y$261,0)-1,0,NA()))</f>
        <v/>
      </c>
      <c r="AE241" s="12">
        <f>IF(A241=MATCH(TRUE,$Z$2:$Z$261,0),MAX($AB$2:$AB$261),IF(A241=MATCH(TRUE,$Z$2:$Z$261,0)-1,0,NA()))</f>
        <v/>
      </c>
    </row>
    <row r="242">
      <c r="A242" t="n">
        <v>241</v>
      </c>
      <c r="B242" s="14">
        <f>Variables!$B$24+(A242-1)*7</f>
        <v/>
      </c>
      <c r="C242" s="12">
        <f>P241</f>
        <v/>
      </c>
      <c r="D242" s="12">
        <f>Q241</f>
        <v/>
      </c>
      <c r="E242" s="12">
        <f>C242+IF(A242&gt;Variables!$B$25,D242,0)</f>
        <v/>
      </c>
      <c r="F242" s="12">
        <f>C242+D242</f>
        <v/>
      </c>
      <c r="G242" s="11">
        <f>IF(A242&gt;Variables!$B$22,Variables!$B$12,0)</f>
        <v/>
      </c>
      <c r="H242" s="11">
        <f>IF(AND(A242&gt;Variables!$B$22,Variables!$B$14="Yes"),Variables!$B$13,0)</f>
        <v/>
      </c>
      <c r="I242" s="11">
        <f>IF(AA242&gt;Variables!$B$18,0,IF(AA242&gt;Variables!$B$19,CEILING((AA242-Variables!$B$19)/Variables!$B$21,1)*Variables!$B$20,0))</f>
        <v/>
      </c>
      <c r="J242" s="11">
        <f>IF(AA242&lt;=Variables!$B$18,MIN(Variables!$B$9-Variables!$B$8+I242,Variables!$B$26),0)</f>
        <v/>
      </c>
      <c r="K242" s="11">
        <f>IF(AA242&lt;=Variables!$B$18,Variables!$B$27,0)</f>
        <v/>
      </c>
      <c r="L242" s="11">
        <f>IF(AA242&gt;Variables!$B$18,G242+H242,Variables!$B$26-J242)</f>
        <v/>
      </c>
      <c r="M242" s="11">
        <f>IF(AA242&gt;Variables!$B$18,Variables!$B$2-G242-H242,J242+K242)</f>
        <v/>
      </c>
      <c r="N242" s="11">
        <f>Variables!$B$9-AC242</f>
        <v/>
      </c>
      <c r="O242" s="12">
        <f>F242+N242</f>
        <v/>
      </c>
      <c r="P242" s="12">
        <f>MAX(0,C242+N242)</f>
        <v/>
      </c>
      <c r="Q242" s="12">
        <f>D242+MIN(0,C242+N242)</f>
        <v/>
      </c>
      <c r="R242">
        <f>IF(AA242&gt;Variables!$B$18,"Self-funder",IF(AA242&gt;Variables!$B$19,"Tariff band - council contributing","Council pays standard rate"))</f>
        <v/>
      </c>
      <c r="S242" s="12">
        <f>Variables!$B$18</f>
        <v/>
      </c>
      <c r="T242" s="12">
        <f>Variables!$B$19</f>
        <v/>
      </c>
      <c r="U242">
        <f>AA242&lt;=Variables!$B$18</f>
        <v/>
      </c>
      <c r="V242">
        <f>AA242&lt;=Variables!$B$19</f>
        <v/>
      </c>
      <c r="W242">
        <f>P242&lt;=0</f>
        <v/>
      </c>
      <c r="X242" s="12">
        <f>Variables!$B$28</f>
        <v/>
      </c>
      <c r="Y242">
        <f>AB242&lt;=Variables!$B$28</f>
        <v/>
      </c>
      <c r="Z242">
        <f>AB242&lt;=Variables!$B$18</f>
        <v/>
      </c>
      <c r="AA242" s="12">
        <f>AB241</f>
        <v/>
      </c>
      <c r="AB242" s="12">
        <f>AA242+Variables!$B$9-M242</f>
        <v/>
      </c>
      <c r="AC242" s="11">
        <f>IF(MOD(A242-1,Variables!$B$30)=0,Variables!$B$30*M242,0)</f>
        <v/>
      </c>
      <c r="AD242" s="12">
        <f>IF(A242=MATCH(TRUE,$Y$2:$Y$261,0),MAX($AB$2:$AB$261),IF(A242=MATCH(TRUE,$Y$2:$Y$261,0)-1,0,NA()))</f>
        <v/>
      </c>
      <c r="AE242" s="12">
        <f>IF(A242=MATCH(TRUE,$Z$2:$Z$261,0),MAX($AB$2:$AB$261),IF(A242=MATCH(TRUE,$Z$2:$Z$261,0)-1,0,NA()))</f>
        <v/>
      </c>
    </row>
    <row r="243">
      <c r="A243" t="n">
        <v>242</v>
      </c>
      <c r="B243" s="14">
        <f>Variables!$B$24+(A243-1)*7</f>
        <v/>
      </c>
      <c r="C243" s="12">
        <f>P242</f>
        <v/>
      </c>
      <c r="D243" s="12">
        <f>Q242</f>
        <v/>
      </c>
      <c r="E243" s="12">
        <f>C243+IF(A243&gt;Variables!$B$25,D243,0)</f>
        <v/>
      </c>
      <c r="F243" s="12">
        <f>C243+D243</f>
        <v/>
      </c>
      <c r="G243" s="11">
        <f>IF(A243&gt;Variables!$B$22,Variables!$B$12,0)</f>
        <v/>
      </c>
      <c r="H243" s="11">
        <f>IF(AND(A243&gt;Variables!$B$22,Variables!$B$14="Yes"),Variables!$B$13,0)</f>
        <v/>
      </c>
      <c r="I243" s="11">
        <f>IF(AA243&gt;Variables!$B$18,0,IF(AA243&gt;Variables!$B$19,CEILING((AA243-Variables!$B$19)/Variables!$B$21,1)*Variables!$B$20,0))</f>
        <v/>
      </c>
      <c r="J243" s="11">
        <f>IF(AA243&lt;=Variables!$B$18,MIN(Variables!$B$9-Variables!$B$8+I243,Variables!$B$26),0)</f>
        <v/>
      </c>
      <c r="K243" s="11">
        <f>IF(AA243&lt;=Variables!$B$18,Variables!$B$27,0)</f>
        <v/>
      </c>
      <c r="L243" s="11">
        <f>IF(AA243&gt;Variables!$B$18,G243+H243,Variables!$B$26-J243)</f>
        <v/>
      </c>
      <c r="M243" s="11">
        <f>IF(AA243&gt;Variables!$B$18,Variables!$B$2-G243-H243,J243+K243)</f>
        <v/>
      </c>
      <c r="N243" s="11">
        <f>Variables!$B$9-AC243</f>
        <v/>
      </c>
      <c r="O243" s="12">
        <f>F243+N243</f>
        <v/>
      </c>
      <c r="P243" s="12">
        <f>MAX(0,C243+N243)</f>
        <v/>
      </c>
      <c r="Q243" s="12">
        <f>D243+MIN(0,C243+N243)</f>
        <v/>
      </c>
      <c r="R243">
        <f>IF(AA243&gt;Variables!$B$18,"Self-funder",IF(AA243&gt;Variables!$B$19,"Tariff band - council contributing","Council pays standard rate"))</f>
        <v/>
      </c>
      <c r="S243" s="12">
        <f>Variables!$B$18</f>
        <v/>
      </c>
      <c r="T243" s="12">
        <f>Variables!$B$19</f>
        <v/>
      </c>
      <c r="U243">
        <f>AA243&lt;=Variables!$B$18</f>
        <v/>
      </c>
      <c r="V243">
        <f>AA243&lt;=Variables!$B$19</f>
        <v/>
      </c>
      <c r="W243">
        <f>P243&lt;=0</f>
        <v/>
      </c>
      <c r="X243" s="12">
        <f>Variables!$B$28</f>
        <v/>
      </c>
      <c r="Y243">
        <f>AB243&lt;=Variables!$B$28</f>
        <v/>
      </c>
      <c r="Z243">
        <f>AB243&lt;=Variables!$B$18</f>
        <v/>
      </c>
      <c r="AA243" s="12">
        <f>AB242</f>
        <v/>
      </c>
      <c r="AB243" s="12">
        <f>AA243+Variables!$B$9-M243</f>
        <v/>
      </c>
      <c r="AC243" s="11">
        <f>IF(MOD(A243-1,Variables!$B$30)=0,Variables!$B$30*M243,0)</f>
        <v/>
      </c>
      <c r="AD243" s="12">
        <f>IF(A243=MATCH(TRUE,$Y$2:$Y$261,0),MAX($AB$2:$AB$261),IF(A243=MATCH(TRUE,$Y$2:$Y$261,0)-1,0,NA()))</f>
        <v/>
      </c>
      <c r="AE243" s="12">
        <f>IF(A243=MATCH(TRUE,$Z$2:$Z$261,0),MAX($AB$2:$AB$261),IF(A243=MATCH(TRUE,$Z$2:$Z$261,0)-1,0,NA()))</f>
        <v/>
      </c>
    </row>
    <row r="244">
      <c r="A244" t="n">
        <v>243</v>
      </c>
      <c r="B244" s="14">
        <f>Variables!$B$24+(A244-1)*7</f>
        <v/>
      </c>
      <c r="C244" s="12">
        <f>P243</f>
        <v/>
      </c>
      <c r="D244" s="12">
        <f>Q243</f>
        <v/>
      </c>
      <c r="E244" s="12">
        <f>C244+IF(A244&gt;Variables!$B$25,D244,0)</f>
        <v/>
      </c>
      <c r="F244" s="12">
        <f>C244+D244</f>
        <v/>
      </c>
      <c r="G244" s="11">
        <f>IF(A244&gt;Variables!$B$22,Variables!$B$12,0)</f>
        <v/>
      </c>
      <c r="H244" s="11">
        <f>IF(AND(A244&gt;Variables!$B$22,Variables!$B$14="Yes"),Variables!$B$13,0)</f>
        <v/>
      </c>
      <c r="I244" s="11">
        <f>IF(AA244&gt;Variables!$B$18,0,IF(AA244&gt;Variables!$B$19,CEILING((AA244-Variables!$B$19)/Variables!$B$21,1)*Variables!$B$20,0))</f>
        <v/>
      </c>
      <c r="J244" s="11">
        <f>IF(AA244&lt;=Variables!$B$18,MIN(Variables!$B$9-Variables!$B$8+I244,Variables!$B$26),0)</f>
        <v/>
      </c>
      <c r="K244" s="11">
        <f>IF(AA244&lt;=Variables!$B$18,Variables!$B$27,0)</f>
        <v/>
      </c>
      <c r="L244" s="11">
        <f>IF(AA244&gt;Variables!$B$18,G244+H244,Variables!$B$26-J244)</f>
        <v/>
      </c>
      <c r="M244" s="11">
        <f>IF(AA244&gt;Variables!$B$18,Variables!$B$2-G244-H244,J244+K244)</f>
        <v/>
      </c>
      <c r="N244" s="11">
        <f>Variables!$B$9-AC244</f>
        <v/>
      </c>
      <c r="O244" s="12">
        <f>F244+N244</f>
        <v/>
      </c>
      <c r="P244" s="12">
        <f>MAX(0,C244+N244)</f>
        <v/>
      </c>
      <c r="Q244" s="12">
        <f>D244+MIN(0,C244+N244)</f>
        <v/>
      </c>
      <c r="R244">
        <f>IF(AA244&gt;Variables!$B$18,"Self-funder",IF(AA244&gt;Variables!$B$19,"Tariff band - council contributing","Council pays standard rate"))</f>
        <v/>
      </c>
      <c r="S244" s="12">
        <f>Variables!$B$18</f>
        <v/>
      </c>
      <c r="T244" s="12">
        <f>Variables!$B$19</f>
        <v/>
      </c>
      <c r="U244">
        <f>AA244&lt;=Variables!$B$18</f>
        <v/>
      </c>
      <c r="V244">
        <f>AA244&lt;=Variables!$B$19</f>
        <v/>
      </c>
      <c r="W244">
        <f>P244&lt;=0</f>
        <v/>
      </c>
      <c r="X244" s="12">
        <f>Variables!$B$28</f>
        <v/>
      </c>
      <c r="Y244">
        <f>AB244&lt;=Variables!$B$28</f>
        <v/>
      </c>
      <c r="Z244">
        <f>AB244&lt;=Variables!$B$18</f>
        <v/>
      </c>
      <c r="AA244" s="12">
        <f>AB243</f>
        <v/>
      </c>
      <c r="AB244" s="12">
        <f>AA244+Variables!$B$9-M244</f>
        <v/>
      </c>
      <c r="AC244" s="11">
        <f>IF(MOD(A244-1,Variables!$B$30)=0,Variables!$B$30*M244,0)</f>
        <v/>
      </c>
      <c r="AD244" s="12">
        <f>IF(A244=MATCH(TRUE,$Y$2:$Y$261,0),MAX($AB$2:$AB$261),IF(A244=MATCH(TRUE,$Y$2:$Y$261,0)-1,0,NA()))</f>
        <v/>
      </c>
      <c r="AE244" s="12">
        <f>IF(A244=MATCH(TRUE,$Z$2:$Z$261,0),MAX($AB$2:$AB$261),IF(A244=MATCH(TRUE,$Z$2:$Z$261,0)-1,0,NA()))</f>
        <v/>
      </c>
    </row>
    <row r="245">
      <c r="A245" t="n">
        <v>244</v>
      </c>
      <c r="B245" s="14">
        <f>Variables!$B$24+(A245-1)*7</f>
        <v/>
      </c>
      <c r="C245" s="12">
        <f>P244</f>
        <v/>
      </c>
      <c r="D245" s="12">
        <f>Q244</f>
        <v/>
      </c>
      <c r="E245" s="12">
        <f>C245+IF(A245&gt;Variables!$B$25,D245,0)</f>
        <v/>
      </c>
      <c r="F245" s="12">
        <f>C245+D245</f>
        <v/>
      </c>
      <c r="G245" s="11">
        <f>IF(A245&gt;Variables!$B$22,Variables!$B$12,0)</f>
        <v/>
      </c>
      <c r="H245" s="11">
        <f>IF(AND(A245&gt;Variables!$B$22,Variables!$B$14="Yes"),Variables!$B$13,0)</f>
        <v/>
      </c>
      <c r="I245" s="11">
        <f>IF(AA245&gt;Variables!$B$18,0,IF(AA245&gt;Variables!$B$19,CEILING((AA245-Variables!$B$19)/Variables!$B$21,1)*Variables!$B$20,0))</f>
        <v/>
      </c>
      <c r="J245" s="11">
        <f>IF(AA245&lt;=Variables!$B$18,MIN(Variables!$B$9-Variables!$B$8+I245,Variables!$B$26),0)</f>
        <v/>
      </c>
      <c r="K245" s="11">
        <f>IF(AA245&lt;=Variables!$B$18,Variables!$B$27,0)</f>
        <v/>
      </c>
      <c r="L245" s="11">
        <f>IF(AA245&gt;Variables!$B$18,G245+H245,Variables!$B$26-J245)</f>
        <v/>
      </c>
      <c r="M245" s="11">
        <f>IF(AA245&gt;Variables!$B$18,Variables!$B$2-G245-H245,J245+K245)</f>
        <v/>
      </c>
      <c r="N245" s="11">
        <f>Variables!$B$9-AC245</f>
        <v/>
      </c>
      <c r="O245" s="12">
        <f>F245+N245</f>
        <v/>
      </c>
      <c r="P245" s="12">
        <f>MAX(0,C245+N245)</f>
        <v/>
      </c>
      <c r="Q245" s="12">
        <f>D245+MIN(0,C245+N245)</f>
        <v/>
      </c>
      <c r="R245">
        <f>IF(AA245&gt;Variables!$B$18,"Self-funder",IF(AA245&gt;Variables!$B$19,"Tariff band - council contributing","Council pays standard rate"))</f>
        <v/>
      </c>
      <c r="S245" s="12">
        <f>Variables!$B$18</f>
        <v/>
      </c>
      <c r="T245" s="12">
        <f>Variables!$B$19</f>
        <v/>
      </c>
      <c r="U245">
        <f>AA245&lt;=Variables!$B$18</f>
        <v/>
      </c>
      <c r="V245">
        <f>AA245&lt;=Variables!$B$19</f>
        <v/>
      </c>
      <c r="W245">
        <f>P245&lt;=0</f>
        <v/>
      </c>
      <c r="X245" s="12">
        <f>Variables!$B$28</f>
        <v/>
      </c>
      <c r="Y245">
        <f>AB245&lt;=Variables!$B$28</f>
        <v/>
      </c>
      <c r="Z245">
        <f>AB245&lt;=Variables!$B$18</f>
        <v/>
      </c>
      <c r="AA245" s="12">
        <f>AB244</f>
        <v/>
      </c>
      <c r="AB245" s="12">
        <f>AA245+Variables!$B$9-M245</f>
        <v/>
      </c>
      <c r="AC245" s="11">
        <f>IF(MOD(A245-1,Variables!$B$30)=0,Variables!$B$30*M245,0)</f>
        <v/>
      </c>
      <c r="AD245" s="12">
        <f>IF(A245=MATCH(TRUE,$Y$2:$Y$261,0),MAX($AB$2:$AB$261),IF(A245=MATCH(TRUE,$Y$2:$Y$261,0)-1,0,NA()))</f>
        <v/>
      </c>
      <c r="AE245" s="12">
        <f>IF(A245=MATCH(TRUE,$Z$2:$Z$261,0),MAX($AB$2:$AB$261),IF(A245=MATCH(TRUE,$Z$2:$Z$261,0)-1,0,NA()))</f>
        <v/>
      </c>
    </row>
    <row r="246">
      <c r="A246" t="n">
        <v>245</v>
      </c>
      <c r="B246" s="14">
        <f>Variables!$B$24+(A246-1)*7</f>
        <v/>
      </c>
      <c r="C246" s="12">
        <f>P245</f>
        <v/>
      </c>
      <c r="D246" s="12">
        <f>Q245</f>
        <v/>
      </c>
      <c r="E246" s="12">
        <f>C246+IF(A246&gt;Variables!$B$25,D246,0)</f>
        <v/>
      </c>
      <c r="F246" s="12">
        <f>C246+D246</f>
        <v/>
      </c>
      <c r="G246" s="11">
        <f>IF(A246&gt;Variables!$B$22,Variables!$B$12,0)</f>
        <v/>
      </c>
      <c r="H246" s="11">
        <f>IF(AND(A246&gt;Variables!$B$22,Variables!$B$14="Yes"),Variables!$B$13,0)</f>
        <v/>
      </c>
      <c r="I246" s="11">
        <f>IF(AA246&gt;Variables!$B$18,0,IF(AA246&gt;Variables!$B$19,CEILING((AA246-Variables!$B$19)/Variables!$B$21,1)*Variables!$B$20,0))</f>
        <v/>
      </c>
      <c r="J246" s="11">
        <f>IF(AA246&lt;=Variables!$B$18,MIN(Variables!$B$9-Variables!$B$8+I246,Variables!$B$26),0)</f>
        <v/>
      </c>
      <c r="K246" s="11">
        <f>IF(AA246&lt;=Variables!$B$18,Variables!$B$27,0)</f>
        <v/>
      </c>
      <c r="L246" s="11">
        <f>IF(AA246&gt;Variables!$B$18,G246+H246,Variables!$B$26-J246)</f>
        <v/>
      </c>
      <c r="M246" s="11">
        <f>IF(AA246&gt;Variables!$B$18,Variables!$B$2-G246-H246,J246+K246)</f>
        <v/>
      </c>
      <c r="N246" s="11">
        <f>Variables!$B$9-AC246</f>
        <v/>
      </c>
      <c r="O246" s="12">
        <f>F246+N246</f>
        <v/>
      </c>
      <c r="P246" s="12">
        <f>MAX(0,C246+N246)</f>
        <v/>
      </c>
      <c r="Q246" s="12">
        <f>D246+MIN(0,C246+N246)</f>
        <v/>
      </c>
      <c r="R246">
        <f>IF(AA246&gt;Variables!$B$18,"Self-funder",IF(AA246&gt;Variables!$B$19,"Tariff band - council contributing","Council pays standard rate"))</f>
        <v/>
      </c>
      <c r="S246" s="12">
        <f>Variables!$B$18</f>
        <v/>
      </c>
      <c r="T246" s="12">
        <f>Variables!$B$19</f>
        <v/>
      </c>
      <c r="U246">
        <f>AA246&lt;=Variables!$B$18</f>
        <v/>
      </c>
      <c r="V246">
        <f>AA246&lt;=Variables!$B$19</f>
        <v/>
      </c>
      <c r="W246">
        <f>P246&lt;=0</f>
        <v/>
      </c>
      <c r="X246" s="12">
        <f>Variables!$B$28</f>
        <v/>
      </c>
      <c r="Y246">
        <f>AB246&lt;=Variables!$B$28</f>
        <v/>
      </c>
      <c r="Z246">
        <f>AB246&lt;=Variables!$B$18</f>
        <v/>
      </c>
      <c r="AA246" s="12">
        <f>AB245</f>
        <v/>
      </c>
      <c r="AB246" s="12">
        <f>AA246+Variables!$B$9-M246</f>
        <v/>
      </c>
      <c r="AC246" s="11">
        <f>IF(MOD(A246-1,Variables!$B$30)=0,Variables!$B$30*M246,0)</f>
        <v/>
      </c>
      <c r="AD246" s="12">
        <f>IF(A246=MATCH(TRUE,$Y$2:$Y$261,0),MAX($AB$2:$AB$261),IF(A246=MATCH(TRUE,$Y$2:$Y$261,0)-1,0,NA()))</f>
        <v/>
      </c>
      <c r="AE246" s="12">
        <f>IF(A246=MATCH(TRUE,$Z$2:$Z$261,0),MAX($AB$2:$AB$261),IF(A246=MATCH(TRUE,$Z$2:$Z$261,0)-1,0,NA()))</f>
        <v/>
      </c>
    </row>
    <row r="247">
      <c r="A247" t="n">
        <v>246</v>
      </c>
      <c r="B247" s="14">
        <f>Variables!$B$24+(A247-1)*7</f>
        <v/>
      </c>
      <c r="C247" s="12">
        <f>P246</f>
        <v/>
      </c>
      <c r="D247" s="12">
        <f>Q246</f>
        <v/>
      </c>
      <c r="E247" s="12">
        <f>C247+IF(A247&gt;Variables!$B$25,D247,0)</f>
        <v/>
      </c>
      <c r="F247" s="12">
        <f>C247+D247</f>
        <v/>
      </c>
      <c r="G247" s="11">
        <f>IF(A247&gt;Variables!$B$22,Variables!$B$12,0)</f>
        <v/>
      </c>
      <c r="H247" s="11">
        <f>IF(AND(A247&gt;Variables!$B$22,Variables!$B$14="Yes"),Variables!$B$13,0)</f>
        <v/>
      </c>
      <c r="I247" s="11">
        <f>IF(AA247&gt;Variables!$B$18,0,IF(AA247&gt;Variables!$B$19,CEILING((AA247-Variables!$B$19)/Variables!$B$21,1)*Variables!$B$20,0))</f>
        <v/>
      </c>
      <c r="J247" s="11">
        <f>IF(AA247&lt;=Variables!$B$18,MIN(Variables!$B$9-Variables!$B$8+I247,Variables!$B$26),0)</f>
        <v/>
      </c>
      <c r="K247" s="11">
        <f>IF(AA247&lt;=Variables!$B$18,Variables!$B$27,0)</f>
        <v/>
      </c>
      <c r="L247" s="11">
        <f>IF(AA247&gt;Variables!$B$18,G247+H247,Variables!$B$26-J247)</f>
        <v/>
      </c>
      <c r="M247" s="11">
        <f>IF(AA247&gt;Variables!$B$18,Variables!$B$2-G247-H247,J247+K247)</f>
        <v/>
      </c>
      <c r="N247" s="11">
        <f>Variables!$B$9-AC247</f>
        <v/>
      </c>
      <c r="O247" s="12">
        <f>F247+N247</f>
        <v/>
      </c>
      <c r="P247" s="12">
        <f>MAX(0,C247+N247)</f>
        <v/>
      </c>
      <c r="Q247" s="12">
        <f>D247+MIN(0,C247+N247)</f>
        <v/>
      </c>
      <c r="R247">
        <f>IF(AA247&gt;Variables!$B$18,"Self-funder",IF(AA247&gt;Variables!$B$19,"Tariff band - council contributing","Council pays standard rate"))</f>
        <v/>
      </c>
      <c r="S247" s="12">
        <f>Variables!$B$18</f>
        <v/>
      </c>
      <c r="T247" s="12">
        <f>Variables!$B$19</f>
        <v/>
      </c>
      <c r="U247">
        <f>AA247&lt;=Variables!$B$18</f>
        <v/>
      </c>
      <c r="V247">
        <f>AA247&lt;=Variables!$B$19</f>
        <v/>
      </c>
      <c r="W247">
        <f>P247&lt;=0</f>
        <v/>
      </c>
      <c r="X247" s="12">
        <f>Variables!$B$28</f>
        <v/>
      </c>
      <c r="Y247">
        <f>AB247&lt;=Variables!$B$28</f>
        <v/>
      </c>
      <c r="Z247">
        <f>AB247&lt;=Variables!$B$18</f>
        <v/>
      </c>
      <c r="AA247" s="12">
        <f>AB246</f>
        <v/>
      </c>
      <c r="AB247" s="12">
        <f>AA247+Variables!$B$9-M247</f>
        <v/>
      </c>
      <c r="AC247" s="11">
        <f>IF(MOD(A247-1,Variables!$B$30)=0,Variables!$B$30*M247,0)</f>
        <v/>
      </c>
      <c r="AD247" s="12">
        <f>IF(A247=MATCH(TRUE,$Y$2:$Y$261,0),MAX($AB$2:$AB$261),IF(A247=MATCH(TRUE,$Y$2:$Y$261,0)-1,0,NA()))</f>
        <v/>
      </c>
      <c r="AE247" s="12">
        <f>IF(A247=MATCH(TRUE,$Z$2:$Z$261,0),MAX($AB$2:$AB$261),IF(A247=MATCH(TRUE,$Z$2:$Z$261,0)-1,0,NA()))</f>
        <v/>
      </c>
    </row>
    <row r="248">
      <c r="A248" t="n">
        <v>247</v>
      </c>
      <c r="B248" s="14">
        <f>Variables!$B$24+(A248-1)*7</f>
        <v/>
      </c>
      <c r="C248" s="12">
        <f>P247</f>
        <v/>
      </c>
      <c r="D248" s="12">
        <f>Q247</f>
        <v/>
      </c>
      <c r="E248" s="12">
        <f>C248+IF(A248&gt;Variables!$B$25,D248,0)</f>
        <v/>
      </c>
      <c r="F248" s="12">
        <f>C248+D248</f>
        <v/>
      </c>
      <c r="G248" s="11">
        <f>IF(A248&gt;Variables!$B$22,Variables!$B$12,0)</f>
        <v/>
      </c>
      <c r="H248" s="11">
        <f>IF(AND(A248&gt;Variables!$B$22,Variables!$B$14="Yes"),Variables!$B$13,0)</f>
        <v/>
      </c>
      <c r="I248" s="11">
        <f>IF(AA248&gt;Variables!$B$18,0,IF(AA248&gt;Variables!$B$19,CEILING((AA248-Variables!$B$19)/Variables!$B$21,1)*Variables!$B$20,0))</f>
        <v/>
      </c>
      <c r="J248" s="11">
        <f>IF(AA248&lt;=Variables!$B$18,MIN(Variables!$B$9-Variables!$B$8+I248,Variables!$B$26),0)</f>
        <v/>
      </c>
      <c r="K248" s="11">
        <f>IF(AA248&lt;=Variables!$B$18,Variables!$B$27,0)</f>
        <v/>
      </c>
      <c r="L248" s="11">
        <f>IF(AA248&gt;Variables!$B$18,G248+H248,Variables!$B$26-J248)</f>
        <v/>
      </c>
      <c r="M248" s="11">
        <f>IF(AA248&gt;Variables!$B$18,Variables!$B$2-G248-H248,J248+K248)</f>
        <v/>
      </c>
      <c r="N248" s="11">
        <f>Variables!$B$9-AC248</f>
        <v/>
      </c>
      <c r="O248" s="12">
        <f>F248+N248</f>
        <v/>
      </c>
      <c r="P248" s="12">
        <f>MAX(0,C248+N248)</f>
        <v/>
      </c>
      <c r="Q248" s="12">
        <f>D248+MIN(0,C248+N248)</f>
        <v/>
      </c>
      <c r="R248">
        <f>IF(AA248&gt;Variables!$B$18,"Self-funder",IF(AA248&gt;Variables!$B$19,"Tariff band - council contributing","Council pays standard rate"))</f>
        <v/>
      </c>
      <c r="S248" s="12">
        <f>Variables!$B$18</f>
        <v/>
      </c>
      <c r="T248" s="12">
        <f>Variables!$B$19</f>
        <v/>
      </c>
      <c r="U248">
        <f>AA248&lt;=Variables!$B$18</f>
        <v/>
      </c>
      <c r="V248">
        <f>AA248&lt;=Variables!$B$19</f>
        <v/>
      </c>
      <c r="W248">
        <f>P248&lt;=0</f>
        <v/>
      </c>
      <c r="X248" s="12">
        <f>Variables!$B$28</f>
        <v/>
      </c>
      <c r="Y248">
        <f>AB248&lt;=Variables!$B$28</f>
        <v/>
      </c>
      <c r="Z248">
        <f>AB248&lt;=Variables!$B$18</f>
        <v/>
      </c>
      <c r="AA248" s="12">
        <f>AB247</f>
        <v/>
      </c>
      <c r="AB248" s="12">
        <f>AA248+Variables!$B$9-M248</f>
        <v/>
      </c>
      <c r="AC248" s="11">
        <f>IF(MOD(A248-1,Variables!$B$30)=0,Variables!$B$30*M248,0)</f>
        <v/>
      </c>
      <c r="AD248" s="12">
        <f>IF(A248=MATCH(TRUE,$Y$2:$Y$261,0),MAX($AB$2:$AB$261),IF(A248=MATCH(TRUE,$Y$2:$Y$261,0)-1,0,NA()))</f>
        <v/>
      </c>
      <c r="AE248" s="12">
        <f>IF(A248=MATCH(TRUE,$Z$2:$Z$261,0),MAX($AB$2:$AB$261),IF(A248=MATCH(TRUE,$Z$2:$Z$261,0)-1,0,NA()))</f>
        <v/>
      </c>
    </row>
    <row r="249">
      <c r="A249" t="n">
        <v>248</v>
      </c>
      <c r="B249" s="14">
        <f>Variables!$B$24+(A249-1)*7</f>
        <v/>
      </c>
      <c r="C249" s="12">
        <f>P248</f>
        <v/>
      </c>
      <c r="D249" s="12">
        <f>Q248</f>
        <v/>
      </c>
      <c r="E249" s="12">
        <f>C249+IF(A249&gt;Variables!$B$25,D249,0)</f>
        <v/>
      </c>
      <c r="F249" s="12">
        <f>C249+D249</f>
        <v/>
      </c>
      <c r="G249" s="11">
        <f>IF(A249&gt;Variables!$B$22,Variables!$B$12,0)</f>
        <v/>
      </c>
      <c r="H249" s="11">
        <f>IF(AND(A249&gt;Variables!$B$22,Variables!$B$14="Yes"),Variables!$B$13,0)</f>
        <v/>
      </c>
      <c r="I249" s="11">
        <f>IF(AA249&gt;Variables!$B$18,0,IF(AA249&gt;Variables!$B$19,CEILING((AA249-Variables!$B$19)/Variables!$B$21,1)*Variables!$B$20,0))</f>
        <v/>
      </c>
      <c r="J249" s="11">
        <f>IF(AA249&lt;=Variables!$B$18,MIN(Variables!$B$9-Variables!$B$8+I249,Variables!$B$26),0)</f>
        <v/>
      </c>
      <c r="K249" s="11">
        <f>IF(AA249&lt;=Variables!$B$18,Variables!$B$27,0)</f>
        <v/>
      </c>
      <c r="L249" s="11">
        <f>IF(AA249&gt;Variables!$B$18,G249+H249,Variables!$B$26-J249)</f>
        <v/>
      </c>
      <c r="M249" s="11">
        <f>IF(AA249&gt;Variables!$B$18,Variables!$B$2-G249-H249,J249+K249)</f>
        <v/>
      </c>
      <c r="N249" s="11">
        <f>Variables!$B$9-AC249</f>
        <v/>
      </c>
      <c r="O249" s="12">
        <f>F249+N249</f>
        <v/>
      </c>
      <c r="P249" s="12">
        <f>MAX(0,C249+N249)</f>
        <v/>
      </c>
      <c r="Q249" s="12">
        <f>D249+MIN(0,C249+N249)</f>
        <v/>
      </c>
      <c r="R249">
        <f>IF(AA249&gt;Variables!$B$18,"Self-funder",IF(AA249&gt;Variables!$B$19,"Tariff band - council contributing","Council pays standard rate"))</f>
        <v/>
      </c>
      <c r="S249" s="12">
        <f>Variables!$B$18</f>
        <v/>
      </c>
      <c r="T249" s="12">
        <f>Variables!$B$19</f>
        <v/>
      </c>
      <c r="U249">
        <f>AA249&lt;=Variables!$B$18</f>
        <v/>
      </c>
      <c r="V249">
        <f>AA249&lt;=Variables!$B$19</f>
        <v/>
      </c>
      <c r="W249">
        <f>P249&lt;=0</f>
        <v/>
      </c>
      <c r="X249" s="12">
        <f>Variables!$B$28</f>
        <v/>
      </c>
      <c r="Y249">
        <f>AB249&lt;=Variables!$B$28</f>
        <v/>
      </c>
      <c r="Z249">
        <f>AB249&lt;=Variables!$B$18</f>
        <v/>
      </c>
      <c r="AA249" s="12">
        <f>AB248</f>
        <v/>
      </c>
      <c r="AB249" s="12">
        <f>AA249+Variables!$B$9-M249</f>
        <v/>
      </c>
      <c r="AC249" s="11">
        <f>IF(MOD(A249-1,Variables!$B$30)=0,Variables!$B$30*M249,0)</f>
        <v/>
      </c>
      <c r="AD249" s="12">
        <f>IF(A249=MATCH(TRUE,$Y$2:$Y$261,0),MAX($AB$2:$AB$261),IF(A249=MATCH(TRUE,$Y$2:$Y$261,0)-1,0,NA()))</f>
        <v/>
      </c>
      <c r="AE249" s="12">
        <f>IF(A249=MATCH(TRUE,$Z$2:$Z$261,0),MAX($AB$2:$AB$261),IF(A249=MATCH(TRUE,$Z$2:$Z$261,0)-1,0,NA()))</f>
        <v/>
      </c>
    </row>
    <row r="250">
      <c r="A250" t="n">
        <v>249</v>
      </c>
      <c r="B250" s="14">
        <f>Variables!$B$24+(A250-1)*7</f>
        <v/>
      </c>
      <c r="C250" s="12">
        <f>P249</f>
        <v/>
      </c>
      <c r="D250" s="12">
        <f>Q249</f>
        <v/>
      </c>
      <c r="E250" s="12">
        <f>C250+IF(A250&gt;Variables!$B$25,D250,0)</f>
        <v/>
      </c>
      <c r="F250" s="12">
        <f>C250+D250</f>
        <v/>
      </c>
      <c r="G250" s="11">
        <f>IF(A250&gt;Variables!$B$22,Variables!$B$12,0)</f>
        <v/>
      </c>
      <c r="H250" s="11">
        <f>IF(AND(A250&gt;Variables!$B$22,Variables!$B$14="Yes"),Variables!$B$13,0)</f>
        <v/>
      </c>
      <c r="I250" s="11">
        <f>IF(AA250&gt;Variables!$B$18,0,IF(AA250&gt;Variables!$B$19,CEILING((AA250-Variables!$B$19)/Variables!$B$21,1)*Variables!$B$20,0))</f>
        <v/>
      </c>
      <c r="J250" s="11">
        <f>IF(AA250&lt;=Variables!$B$18,MIN(Variables!$B$9-Variables!$B$8+I250,Variables!$B$26),0)</f>
        <v/>
      </c>
      <c r="K250" s="11">
        <f>IF(AA250&lt;=Variables!$B$18,Variables!$B$27,0)</f>
        <v/>
      </c>
      <c r="L250" s="11">
        <f>IF(AA250&gt;Variables!$B$18,G250+H250,Variables!$B$26-J250)</f>
        <v/>
      </c>
      <c r="M250" s="11">
        <f>IF(AA250&gt;Variables!$B$18,Variables!$B$2-G250-H250,J250+K250)</f>
        <v/>
      </c>
      <c r="N250" s="11">
        <f>Variables!$B$9-AC250</f>
        <v/>
      </c>
      <c r="O250" s="12">
        <f>F250+N250</f>
        <v/>
      </c>
      <c r="P250" s="12">
        <f>MAX(0,C250+N250)</f>
        <v/>
      </c>
      <c r="Q250" s="12">
        <f>D250+MIN(0,C250+N250)</f>
        <v/>
      </c>
      <c r="R250">
        <f>IF(AA250&gt;Variables!$B$18,"Self-funder",IF(AA250&gt;Variables!$B$19,"Tariff band - council contributing","Council pays standard rate"))</f>
        <v/>
      </c>
      <c r="S250" s="12">
        <f>Variables!$B$18</f>
        <v/>
      </c>
      <c r="T250" s="12">
        <f>Variables!$B$19</f>
        <v/>
      </c>
      <c r="U250">
        <f>AA250&lt;=Variables!$B$18</f>
        <v/>
      </c>
      <c r="V250">
        <f>AA250&lt;=Variables!$B$19</f>
        <v/>
      </c>
      <c r="W250">
        <f>P250&lt;=0</f>
        <v/>
      </c>
      <c r="X250" s="12">
        <f>Variables!$B$28</f>
        <v/>
      </c>
      <c r="Y250">
        <f>AB250&lt;=Variables!$B$28</f>
        <v/>
      </c>
      <c r="Z250">
        <f>AB250&lt;=Variables!$B$18</f>
        <v/>
      </c>
      <c r="AA250" s="12">
        <f>AB249</f>
        <v/>
      </c>
      <c r="AB250" s="12">
        <f>AA250+Variables!$B$9-M250</f>
        <v/>
      </c>
      <c r="AC250" s="11">
        <f>IF(MOD(A250-1,Variables!$B$30)=0,Variables!$B$30*M250,0)</f>
        <v/>
      </c>
      <c r="AD250" s="12">
        <f>IF(A250=MATCH(TRUE,$Y$2:$Y$261,0),MAX($AB$2:$AB$261),IF(A250=MATCH(TRUE,$Y$2:$Y$261,0)-1,0,NA()))</f>
        <v/>
      </c>
      <c r="AE250" s="12">
        <f>IF(A250=MATCH(TRUE,$Z$2:$Z$261,0),MAX($AB$2:$AB$261),IF(A250=MATCH(TRUE,$Z$2:$Z$261,0)-1,0,NA()))</f>
        <v/>
      </c>
    </row>
    <row r="251">
      <c r="A251" t="n">
        <v>250</v>
      </c>
      <c r="B251" s="14">
        <f>Variables!$B$24+(A251-1)*7</f>
        <v/>
      </c>
      <c r="C251" s="12">
        <f>P250</f>
        <v/>
      </c>
      <c r="D251" s="12">
        <f>Q250</f>
        <v/>
      </c>
      <c r="E251" s="12">
        <f>C251+IF(A251&gt;Variables!$B$25,D251,0)</f>
        <v/>
      </c>
      <c r="F251" s="12">
        <f>C251+D251</f>
        <v/>
      </c>
      <c r="G251" s="11">
        <f>IF(A251&gt;Variables!$B$22,Variables!$B$12,0)</f>
        <v/>
      </c>
      <c r="H251" s="11">
        <f>IF(AND(A251&gt;Variables!$B$22,Variables!$B$14="Yes"),Variables!$B$13,0)</f>
        <v/>
      </c>
      <c r="I251" s="11">
        <f>IF(AA251&gt;Variables!$B$18,0,IF(AA251&gt;Variables!$B$19,CEILING((AA251-Variables!$B$19)/Variables!$B$21,1)*Variables!$B$20,0))</f>
        <v/>
      </c>
      <c r="J251" s="11">
        <f>IF(AA251&lt;=Variables!$B$18,MIN(Variables!$B$9-Variables!$B$8+I251,Variables!$B$26),0)</f>
        <v/>
      </c>
      <c r="K251" s="11">
        <f>IF(AA251&lt;=Variables!$B$18,Variables!$B$27,0)</f>
        <v/>
      </c>
      <c r="L251" s="11">
        <f>IF(AA251&gt;Variables!$B$18,G251+H251,Variables!$B$26-J251)</f>
        <v/>
      </c>
      <c r="M251" s="11">
        <f>IF(AA251&gt;Variables!$B$18,Variables!$B$2-G251-H251,J251+K251)</f>
        <v/>
      </c>
      <c r="N251" s="11">
        <f>Variables!$B$9-AC251</f>
        <v/>
      </c>
      <c r="O251" s="12">
        <f>F251+N251</f>
        <v/>
      </c>
      <c r="P251" s="12">
        <f>MAX(0,C251+N251)</f>
        <v/>
      </c>
      <c r="Q251" s="12">
        <f>D251+MIN(0,C251+N251)</f>
        <v/>
      </c>
      <c r="R251">
        <f>IF(AA251&gt;Variables!$B$18,"Self-funder",IF(AA251&gt;Variables!$B$19,"Tariff band - council contributing","Council pays standard rate"))</f>
        <v/>
      </c>
      <c r="S251" s="12">
        <f>Variables!$B$18</f>
        <v/>
      </c>
      <c r="T251" s="12">
        <f>Variables!$B$19</f>
        <v/>
      </c>
      <c r="U251">
        <f>AA251&lt;=Variables!$B$18</f>
        <v/>
      </c>
      <c r="V251">
        <f>AA251&lt;=Variables!$B$19</f>
        <v/>
      </c>
      <c r="W251">
        <f>P251&lt;=0</f>
        <v/>
      </c>
      <c r="X251" s="12">
        <f>Variables!$B$28</f>
        <v/>
      </c>
      <c r="Y251">
        <f>AB251&lt;=Variables!$B$28</f>
        <v/>
      </c>
      <c r="Z251">
        <f>AB251&lt;=Variables!$B$18</f>
        <v/>
      </c>
      <c r="AA251" s="12">
        <f>AB250</f>
        <v/>
      </c>
      <c r="AB251" s="12">
        <f>AA251+Variables!$B$9-M251</f>
        <v/>
      </c>
      <c r="AC251" s="11">
        <f>IF(MOD(A251-1,Variables!$B$30)=0,Variables!$B$30*M251,0)</f>
        <v/>
      </c>
      <c r="AD251" s="12">
        <f>IF(A251=MATCH(TRUE,$Y$2:$Y$261,0),MAX($AB$2:$AB$261),IF(A251=MATCH(TRUE,$Y$2:$Y$261,0)-1,0,NA()))</f>
        <v/>
      </c>
      <c r="AE251" s="12">
        <f>IF(A251=MATCH(TRUE,$Z$2:$Z$261,0),MAX($AB$2:$AB$261),IF(A251=MATCH(TRUE,$Z$2:$Z$261,0)-1,0,NA()))</f>
        <v/>
      </c>
    </row>
    <row r="252">
      <c r="A252" t="n">
        <v>251</v>
      </c>
      <c r="B252" s="14">
        <f>Variables!$B$24+(A252-1)*7</f>
        <v/>
      </c>
      <c r="C252" s="12">
        <f>P251</f>
        <v/>
      </c>
      <c r="D252" s="12">
        <f>Q251</f>
        <v/>
      </c>
      <c r="E252" s="12">
        <f>C252+IF(A252&gt;Variables!$B$25,D252,0)</f>
        <v/>
      </c>
      <c r="F252" s="12">
        <f>C252+D252</f>
        <v/>
      </c>
      <c r="G252" s="11">
        <f>IF(A252&gt;Variables!$B$22,Variables!$B$12,0)</f>
        <v/>
      </c>
      <c r="H252" s="11">
        <f>IF(AND(A252&gt;Variables!$B$22,Variables!$B$14="Yes"),Variables!$B$13,0)</f>
        <v/>
      </c>
      <c r="I252" s="11">
        <f>IF(AA252&gt;Variables!$B$18,0,IF(AA252&gt;Variables!$B$19,CEILING((AA252-Variables!$B$19)/Variables!$B$21,1)*Variables!$B$20,0))</f>
        <v/>
      </c>
      <c r="J252" s="11">
        <f>IF(AA252&lt;=Variables!$B$18,MIN(Variables!$B$9-Variables!$B$8+I252,Variables!$B$26),0)</f>
        <v/>
      </c>
      <c r="K252" s="11">
        <f>IF(AA252&lt;=Variables!$B$18,Variables!$B$27,0)</f>
        <v/>
      </c>
      <c r="L252" s="11">
        <f>IF(AA252&gt;Variables!$B$18,G252+H252,Variables!$B$26-J252)</f>
        <v/>
      </c>
      <c r="M252" s="11">
        <f>IF(AA252&gt;Variables!$B$18,Variables!$B$2-G252-H252,J252+K252)</f>
        <v/>
      </c>
      <c r="N252" s="11">
        <f>Variables!$B$9-AC252</f>
        <v/>
      </c>
      <c r="O252" s="12">
        <f>F252+N252</f>
        <v/>
      </c>
      <c r="P252" s="12">
        <f>MAX(0,C252+N252)</f>
        <v/>
      </c>
      <c r="Q252" s="12">
        <f>D252+MIN(0,C252+N252)</f>
        <v/>
      </c>
      <c r="R252">
        <f>IF(AA252&gt;Variables!$B$18,"Self-funder",IF(AA252&gt;Variables!$B$19,"Tariff band - council contributing","Council pays standard rate"))</f>
        <v/>
      </c>
      <c r="S252" s="12">
        <f>Variables!$B$18</f>
        <v/>
      </c>
      <c r="T252" s="12">
        <f>Variables!$B$19</f>
        <v/>
      </c>
      <c r="U252">
        <f>AA252&lt;=Variables!$B$18</f>
        <v/>
      </c>
      <c r="V252">
        <f>AA252&lt;=Variables!$B$19</f>
        <v/>
      </c>
      <c r="W252">
        <f>P252&lt;=0</f>
        <v/>
      </c>
      <c r="X252" s="12">
        <f>Variables!$B$28</f>
        <v/>
      </c>
      <c r="Y252">
        <f>AB252&lt;=Variables!$B$28</f>
        <v/>
      </c>
      <c r="Z252">
        <f>AB252&lt;=Variables!$B$18</f>
        <v/>
      </c>
      <c r="AA252" s="12">
        <f>AB251</f>
        <v/>
      </c>
      <c r="AB252" s="12">
        <f>AA252+Variables!$B$9-M252</f>
        <v/>
      </c>
      <c r="AC252" s="11">
        <f>IF(MOD(A252-1,Variables!$B$30)=0,Variables!$B$30*M252,0)</f>
        <v/>
      </c>
      <c r="AD252" s="12">
        <f>IF(A252=MATCH(TRUE,$Y$2:$Y$261,0),MAX($AB$2:$AB$261),IF(A252=MATCH(TRUE,$Y$2:$Y$261,0)-1,0,NA()))</f>
        <v/>
      </c>
      <c r="AE252" s="12">
        <f>IF(A252=MATCH(TRUE,$Z$2:$Z$261,0),MAX($AB$2:$AB$261),IF(A252=MATCH(TRUE,$Z$2:$Z$261,0)-1,0,NA()))</f>
        <v/>
      </c>
    </row>
    <row r="253">
      <c r="A253" t="n">
        <v>252</v>
      </c>
      <c r="B253" s="14">
        <f>Variables!$B$24+(A253-1)*7</f>
        <v/>
      </c>
      <c r="C253" s="12">
        <f>P252</f>
        <v/>
      </c>
      <c r="D253" s="12">
        <f>Q252</f>
        <v/>
      </c>
      <c r="E253" s="12">
        <f>C253+IF(A253&gt;Variables!$B$25,D253,0)</f>
        <v/>
      </c>
      <c r="F253" s="12">
        <f>C253+D253</f>
        <v/>
      </c>
      <c r="G253" s="11">
        <f>IF(A253&gt;Variables!$B$22,Variables!$B$12,0)</f>
        <v/>
      </c>
      <c r="H253" s="11">
        <f>IF(AND(A253&gt;Variables!$B$22,Variables!$B$14="Yes"),Variables!$B$13,0)</f>
        <v/>
      </c>
      <c r="I253" s="11">
        <f>IF(AA253&gt;Variables!$B$18,0,IF(AA253&gt;Variables!$B$19,CEILING((AA253-Variables!$B$19)/Variables!$B$21,1)*Variables!$B$20,0))</f>
        <v/>
      </c>
      <c r="J253" s="11">
        <f>IF(AA253&lt;=Variables!$B$18,MIN(Variables!$B$9-Variables!$B$8+I253,Variables!$B$26),0)</f>
        <v/>
      </c>
      <c r="K253" s="11">
        <f>IF(AA253&lt;=Variables!$B$18,Variables!$B$27,0)</f>
        <v/>
      </c>
      <c r="L253" s="11">
        <f>IF(AA253&gt;Variables!$B$18,G253+H253,Variables!$B$26-J253)</f>
        <v/>
      </c>
      <c r="M253" s="11">
        <f>IF(AA253&gt;Variables!$B$18,Variables!$B$2-G253-H253,J253+K253)</f>
        <v/>
      </c>
      <c r="N253" s="11">
        <f>Variables!$B$9-AC253</f>
        <v/>
      </c>
      <c r="O253" s="12">
        <f>F253+N253</f>
        <v/>
      </c>
      <c r="P253" s="12">
        <f>MAX(0,C253+N253)</f>
        <v/>
      </c>
      <c r="Q253" s="12">
        <f>D253+MIN(0,C253+N253)</f>
        <v/>
      </c>
      <c r="R253">
        <f>IF(AA253&gt;Variables!$B$18,"Self-funder",IF(AA253&gt;Variables!$B$19,"Tariff band - council contributing","Council pays standard rate"))</f>
        <v/>
      </c>
      <c r="S253" s="12">
        <f>Variables!$B$18</f>
        <v/>
      </c>
      <c r="T253" s="12">
        <f>Variables!$B$19</f>
        <v/>
      </c>
      <c r="U253">
        <f>AA253&lt;=Variables!$B$18</f>
        <v/>
      </c>
      <c r="V253">
        <f>AA253&lt;=Variables!$B$19</f>
        <v/>
      </c>
      <c r="W253">
        <f>P253&lt;=0</f>
        <v/>
      </c>
      <c r="X253" s="12">
        <f>Variables!$B$28</f>
        <v/>
      </c>
      <c r="Y253">
        <f>AB253&lt;=Variables!$B$28</f>
        <v/>
      </c>
      <c r="Z253">
        <f>AB253&lt;=Variables!$B$18</f>
        <v/>
      </c>
      <c r="AA253" s="12">
        <f>AB252</f>
        <v/>
      </c>
      <c r="AB253" s="12">
        <f>AA253+Variables!$B$9-M253</f>
        <v/>
      </c>
      <c r="AC253" s="11">
        <f>IF(MOD(A253-1,Variables!$B$30)=0,Variables!$B$30*M253,0)</f>
        <v/>
      </c>
      <c r="AD253" s="12">
        <f>IF(A253=MATCH(TRUE,$Y$2:$Y$261,0),MAX($AB$2:$AB$261),IF(A253=MATCH(TRUE,$Y$2:$Y$261,0)-1,0,NA()))</f>
        <v/>
      </c>
      <c r="AE253" s="12">
        <f>IF(A253=MATCH(TRUE,$Z$2:$Z$261,0),MAX($AB$2:$AB$261),IF(A253=MATCH(TRUE,$Z$2:$Z$261,0)-1,0,NA()))</f>
        <v/>
      </c>
    </row>
    <row r="254">
      <c r="A254" t="n">
        <v>253</v>
      </c>
      <c r="B254" s="14">
        <f>Variables!$B$24+(A254-1)*7</f>
        <v/>
      </c>
      <c r="C254" s="12">
        <f>P253</f>
        <v/>
      </c>
      <c r="D254" s="12">
        <f>Q253</f>
        <v/>
      </c>
      <c r="E254" s="12">
        <f>C254+IF(A254&gt;Variables!$B$25,D254,0)</f>
        <v/>
      </c>
      <c r="F254" s="12">
        <f>C254+D254</f>
        <v/>
      </c>
      <c r="G254" s="11">
        <f>IF(A254&gt;Variables!$B$22,Variables!$B$12,0)</f>
        <v/>
      </c>
      <c r="H254" s="11">
        <f>IF(AND(A254&gt;Variables!$B$22,Variables!$B$14="Yes"),Variables!$B$13,0)</f>
        <v/>
      </c>
      <c r="I254" s="11">
        <f>IF(AA254&gt;Variables!$B$18,0,IF(AA254&gt;Variables!$B$19,CEILING((AA254-Variables!$B$19)/Variables!$B$21,1)*Variables!$B$20,0))</f>
        <v/>
      </c>
      <c r="J254" s="11">
        <f>IF(AA254&lt;=Variables!$B$18,MIN(Variables!$B$9-Variables!$B$8+I254,Variables!$B$26),0)</f>
        <v/>
      </c>
      <c r="K254" s="11">
        <f>IF(AA254&lt;=Variables!$B$18,Variables!$B$27,0)</f>
        <v/>
      </c>
      <c r="L254" s="11">
        <f>IF(AA254&gt;Variables!$B$18,G254+H254,Variables!$B$26-J254)</f>
        <v/>
      </c>
      <c r="M254" s="11">
        <f>IF(AA254&gt;Variables!$B$18,Variables!$B$2-G254-H254,J254+K254)</f>
        <v/>
      </c>
      <c r="N254" s="11">
        <f>Variables!$B$9-AC254</f>
        <v/>
      </c>
      <c r="O254" s="12">
        <f>F254+N254</f>
        <v/>
      </c>
      <c r="P254" s="12">
        <f>MAX(0,C254+N254)</f>
        <v/>
      </c>
      <c r="Q254" s="12">
        <f>D254+MIN(0,C254+N254)</f>
        <v/>
      </c>
      <c r="R254">
        <f>IF(AA254&gt;Variables!$B$18,"Self-funder",IF(AA254&gt;Variables!$B$19,"Tariff band - council contributing","Council pays standard rate"))</f>
        <v/>
      </c>
      <c r="S254" s="12">
        <f>Variables!$B$18</f>
        <v/>
      </c>
      <c r="T254" s="12">
        <f>Variables!$B$19</f>
        <v/>
      </c>
      <c r="U254">
        <f>AA254&lt;=Variables!$B$18</f>
        <v/>
      </c>
      <c r="V254">
        <f>AA254&lt;=Variables!$B$19</f>
        <v/>
      </c>
      <c r="W254">
        <f>P254&lt;=0</f>
        <v/>
      </c>
      <c r="X254" s="12">
        <f>Variables!$B$28</f>
        <v/>
      </c>
      <c r="Y254">
        <f>AB254&lt;=Variables!$B$28</f>
        <v/>
      </c>
      <c r="Z254">
        <f>AB254&lt;=Variables!$B$18</f>
        <v/>
      </c>
      <c r="AA254" s="12">
        <f>AB253</f>
        <v/>
      </c>
      <c r="AB254" s="12">
        <f>AA254+Variables!$B$9-M254</f>
        <v/>
      </c>
      <c r="AC254" s="11">
        <f>IF(MOD(A254-1,Variables!$B$30)=0,Variables!$B$30*M254,0)</f>
        <v/>
      </c>
      <c r="AD254" s="12">
        <f>IF(A254=MATCH(TRUE,$Y$2:$Y$261,0),MAX($AB$2:$AB$261),IF(A254=MATCH(TRUE,$Y$2:$Y$261,0)-1,0,NA()))</f>
        <v/>
      </c>
      <c r="AE254" s="12">
        <f>IF(A254=MATCH(TRUE,$Z$2:$Z$261,0),MAX($AB$2:$AB$261),IF(A254=MATCH(TRUE,$Z$2:$Z$261,0)-1,0,NA()))</f>
        <v/>
      </c>
    </row>
    <row r="255">
      <c r="A255" t="n">
        <v>254</v>
      </c>
      <c r="B255" s="14">
        <f>Variables!$B$24+(A255-1)*7</f>
        <v/>
      </c>
      <c r="C255" s="12">
        <f>P254</f>
        <v/>
      </c>
      <c r="D255" s="12">
        <f>Q254</f>
        <v/>
      </c>
      <c r="E255" s="12">
        <f>C255+IF(A255&gt;Variables!$B$25,D255,0)</f>
        <v/>
      </c>
      <c r="F255" s="12">
        <f>C255+D255</f>
        <v/>
      </c>
      <c r="G255" s="11">
        <f>IF(A255&gt;Variables!$B$22,Variables!$B$12,0)</f>
        <v/>
      </c>
      <c r="H255" s="11">
        <f>IF(AND(A255&gt;Variables!$B$22,Variables!$B$14="Yes"),Variables!$B$13,0)</f>
        <v/>
      </c>
      <c r="I255" s="11">
        <f>IF(AA255&gt;Variables!$B$18,0,IF(AA255&gt;Variables!$B$19,CEILING((AA255-Variables!$B$19)/Variables!$B$21,1)*Variables!$B$20,0))</f>
        <v/>
      </c>
      <c r="J255" s="11">
        <f>IF(AA255&lt;=Variables!$B$18,MIN(Variables!$B$9-Variables!$B$8+I255,Variables!$B$26),0)</f>
        <v/>
      </c>
      <c r="K255" s="11">
        <f>IF(AA255&lt;=Variables!$B$18,Variables!$B$27,0)</f>
        <v/>
      </c>
      <c r="L255" s="11">
        <f>IF(AA255&gt;Variables!$B$18,G255+H255,Variables!$B$26-J255)</f>
        <v/>
      </c>
      <c r="M255" s="11">
        <f>IF(AA255&gt;Variables!$B$18,Variables!$B$2-G255-H255,J255+K255)</f>
        <v/>
      </c>
      <c r="N255" s="11">
        <f>Variables!$B$9-AC255</f>
        <v/>
      </c>
      <c r="O255" s="12">
        <f>F255+N255</f>
        <v/>
      </c>
      <c r="P255" s="12">
        <f>MAX(0,C255+N255)</f>
        <v/>
      </c>
      <c r="Q255" s="12">
        <f>D255+MIN(0,C255+N255)</f>
        <v/>
      </c>
      <c r="R255">
        <f>IF(AA255&gt;Variables!$B$18,"Self-funder",IF(AA255&gt;Variables!$B$19,"Tariff band - council contributing","Council pays standard rate"))</f>
        <v/>
      </c>
      <c r="S255" s="12">
        <f>Variables!$B$18</f>
        <v/>
      </c>
      <c r="T255" s="12">
        <f>Variables!$B$19</f>
        <v/>
      </c>
      <c r="U255">
        <f>AA255&lt;=Variables!$B$18</f>
        <v/>
      </c>
      <c r="V255">
        <f>AA255&lt;=Variables!$B$19</f>
        <v/>
      </c>
      <c r="W255">
        <f>P255&lt;=0</f>
        <v/>
      </c>
      <c r="X255" s="12">
        <f>Variables!$B$28</f>
        <v/>
      </c>
      <c r="Y255">
        <f>AB255&lt;=Variables!$B$28</f>
        <v/>
      </c>
      <c r="Z255">
        <f>AB255&lt;=Variables!$B$18</f>
        <v/>
      </c>
      <c r="AA255" s="12">
        <f>AB254</f>
        <v/>
      </c>
      <c r="AB255" s="12">
        <f>AA255+Variables!$B$9-M255</f>
        <v/>
      </c>
      <c r="AC255" s="11">
        <f>IF(MOD(A255-1,Variables!$B$30)=0,Variables!$B$30*M255,0)</f>
        <v/>
      </c>
      <c r="AD255" s="12">
        <f>IF(A255=MATCH(TRUE,$Y$2:$Y$261,0),MAX($AB$2:$AB$261),IF(A255=MATCH(TRUE,$Y$2:$Y$261,0)-1,0,NA()))</f>
        <v/>
      </c>
      <c r="AE255" s="12">
        <f>IF(A255=MATCH(TRUE,$Z$2:$Z$261,0),MAX($AB$2:$AB$261),IF(A255=MATCH(TRUE,$Z$2:$Z$261,0)-1,0,NA()))</f>
        <v/>
      </c>
    </row>
    <row r="256">
      <c r="A256" t="n">
        <v>255</v>
      </c>
      <c r="B256" s="14">
        <f>Variables!$B$24+(A256-1)*7</f>
        <v/>
      </c>
      <c r="C256" s="12">
        <f>P255</f>
        <v/>
      </c>
      <c r="D256" s="12">
        <f>Q255</f>
        <v/>
      </c>
      <c r="E256" s="12">
        <f>C256+IF(A256&gt;Variables!$B$25,D256,0)</f>
        <v/>
      </c>
      <c r="F256" s="12">
        <f>C256+D256</f>
        <v/>
      </c>
      <c r="G256" s="11">
        <f>IF(A256&gt;Variables!$B$22,Variables!$B$12,0)</f>
        <v/>
      </c>
      <c r="H256" s="11">
        <f>IF(AND(A256&gt;Variables!$B$22,Variables!$B$14="Yes"),Variables!$B$13,0)</f>
        <v/>
      </c>
      <c r="I256" s="11">
        <f>IF(AA256&gt;Variables!$B$18,0,IF(AA256&gt;Variables!$B$19,CEILING((AA256-Variables!$B$19)/Variables!$B$21,1)*Variables!$B$20,0))</f>
        <v/>
      </c>
      <c r="J256" s="11">
        <f>IF(AA256&lt;=Variables!$B$18,MIN(Variables!$B$9-Variables!$B$8+I256,Variables!$B$26),0)</f>
        <v/>
      </c>
      <c r="K256" s="11">
        <f>IF(AA256&lt;=Variables!$B$18,Variables!$B$27,0)</f>
        <v/>
      </c>
      <c r="L256" s="11">
        <f>IF(AA256&gt;Variables!$B$18,G256+H256,Variables!$B$26-J256)</f>
        <v/>
      </c>
      <c r="M256" s="11">
        <f>IF(AA256&gt;Variables!$B$18,Variables!$B$2-G256-H256,J256+K256)</f>
        <v/>
      </c>
      <c r="N256" s="11">
        <f>Variables!$B$9-AC256</f>
        <v/>
      </c>
      <c r="O256" s="12">
        <f>F256+N256</f>
        <v/>
      </c>
      <c r="P256" s="12">
        <f>MAX(0,C256+N256)</f>
        <v/>
      </c>
      <c r="Q256" s="12">
        <f>D256+MIN(0,C256+N256)</f>
        <v/>
      </c>
      <c r="R256">
        <f>IF(AA256&gt;Variables!$B$18,"Self-funder",IF(AA256&gt;Variables!$B$19,"Tariff band - council contributing","Council pays standard rate"))</f>
        <v/>
      </c>
      <c r="S256" s="12">
        <f>Variables!$B$18</f>
        <v/>
      </c>
      <c r="T256" s="12">
        <f>Variables!$B$19</f>
        <v/>
      </c>
      <c r="U256">
        <f>AA256&lt;=Variables!$B$18</f>
        <v/>
      </c>
      <c r="V256">
        <f>AA256&lt;=Variables!$B$19</f>
        <v/>
      </c>
      <c r="W256">
        <f>P256&lt;=0</f>
        <v/>
      </c>
      <c r="X256" s="12">
        <f>Variables!$B$28</f>
        <v/>
      </c>
      <c r="Y256">
        <f>AB256&lt;=Variables!$B$28</f>
        <v/>
      </c>
      <c r="Z256">
        <f>AB256&lt;=Variables!$B$18</f>
        <v/>
      </c>
      <c r="AA256" s="12">
        <f>AB255</f>
        <v/>
      </c>
      <c r="AB256" s="12">
        <f>AA256+Variables!$B$9-M256</f>
        <v/>
      </c>
      <c r="AC256" s="11">
        <f>IF(MOD(A256-1,Variables!$B$30)=0,Variables!$B$30*M256,0)</f>
        <v/>
      </c>
      <c r="AD256" s="12">
        <f>IF(A256=MATCH(TRUE,$Y$2:$Y$261,0),MAX($AB$2:$AB$261),IF(A256=MATCH(TRUE,$Y$2:$Y$261,0)-1,0,NA()))</f>
        <v/>
      </c>
      <c r="AE256" s="12">
        <f>IF(A256=MATCH(TRUE,$Z$2:$Z$261,0),MAX($AB$2:$AB$261),IF(A256=MATCH(TRUE,$Z$2:$Z$261,0)-1,0,NA()))</f>
        <v/>
      </c>
    </row>
    <row r="257">
      <c r="A257" t="n">
        <v>256</v>
      </c>
      <c r="B257" s="14">
        <f>Variables!$B$24+(A257-1)*7</f>
        <v/>
      </c>
      <c r="C257" s="12">
        <f>P256</f>
        <v/>
      </c>
      <c r="D257" s="12">
        <f>Q256</f>
        <v/>
      </c>
      <c r="E257" s="12">
        <f>C257+IF(A257&gt;Variables!$B$25,D257,0)</f>
        <v/>
      </c>
      <c r="F257" s="12">
        <f>C257+D257</f>
        <v/>
      </c>
      <c r="G257" s="11">
        <f>IF(A257&gt;Variables!$B$22,Variables!$B$12,0)</f>
        <v/>
      </c>
      <c r="H257" s="11">
        <f>IF(AND(A257&gt;Variables!$B$22,Variables!$B$14="Yes"),Variables!$B$13,0)</f>
        <v/>
      </c>
      <c r="I257" s="11">
        <f>IF(AA257&gt;Variables!$B$18,0,IF(AA257&gt;Variables!$B$19,CEILING((AA257-Variables!$B$19)/Variables!$B$21,1)*Variables!$B$20,0))</f>
        <v/>
      </c>
      <c r="J257" s="11">
        <f>IF(AA257&lt;=Variables!$B$18,MIN(Variables!$B$9-Variables!$B$8+I257,Variables!$B$26),0)</f>
        <v/>
      </c>
      <c r="K257" s="11">
        <f>IF(AA257&lt;=Variables!$B$18,Variables!$B$27,0)</f>
        <v/>
      </c>
      <c r="L257" s="11">
        <f>IF(AA257&gt;Variables!$B$18,G257+H257,Variables!$B$26-J257)</f>
        <v/>
      </c>
      <c r="M257" s="11">
        <f>IF(AA257&gt;Variables!$B$18,Variables!$B$2-G257-H257,J257+K257)</f>
        <v/>
      </c>
      <c r="N257" s="11">
        <f>Variables!$B$9-AC257</f>
        <v/>
      </c>
      <c r="O257" s="12">
        <f>F257+N257</f>
        <v/>
      </c>
      <c r="P257" s="12">
        <f>MAX(0,C257+N257)</f>
        <v/>
      </c>
      <c r="Q257" s="12">
        <f>D257+MIN(0,C257+N257)</f>
        <v/>
      </c>
      <c r="R257">
        <f>IF(AA257&gt;Variables!$B$18,"Self-funder",IF(AA257&gt;Variables!$B$19,"Tariff band - council contributing","Council pays standard rate"))</f>
        <v/>
      </c>
      <c r="S257" s="12">
        <f>Variables!$B$18</f>
        <v/>
      </c>
      <c r="T257" s="12">
        <f>Variables!$B$19</f>
        <v/>
      </c>
      <c r="U257">
        <f>AA257&lt;=Variables!$B$18</f>
        <v/>
      </c>
      <c r="V257">
        <f>AA257&lt;=Variables!$B$19</f>
        <v/>
      </c>
      <c r="W257">
        <f>P257&lt;=0</f>
        <v/>
      </c>
      <c r="X257" s="12">
        <f>Variables!$B$28</f>
        <v/>
      </c>
      <c r="Y257">
        <f>AB257&lt;=Variables!$B$28</f>
        <v/>
      </c>
      <c r="Z257">
        <f>AB257&lt;=Variables!$B$18</f>
        <v/>
      </c>
      <c r="AA257" s="12">
        <f>AB256</f>
        <v/>
      </c>
      <c r="AB257" s="12">
        <f>AA257+Variables!$B$9-M257</f>
        <v/>
      </c>
      <c r="AC257" s="11">
        <f>IF(MOD(A257-1,Variables!$B$30)=0,Variables!$B$30*M257,0)</f>
        <v/>
      </c>
      <c r="AD257" s="12">
        <f>IF(A257=MATCH(TRUE,$Y$2:$Y$261,0),MAX($AB$2:$AB$261),IF(A257=MATCH(TRUE,$Y$2:$Y$261,0)-1,0,NA()))</f>
        <v/>
      </c>
      <c r="AE257" s="12">
        <f>IF(A257=MATCH(TRUE,$Z$2:$Z$261,0),MAX($AB$2:$AB$261),IF(A257=MATCH(TRUE,$Z$2:$Z$261,0)-1,0,NA()))</f>
        <v/>
      </c>
    </row>
    <row r="258">
      <c r="A258" t="n">
        <v>257</v>
      </c>
      <c r="B258" s="14">
        <f>Variables!$B$24+(A258-1)*7</f>
        <v/>
      </c>
      <c r="C258" s="12">
        <f>P257</f>
        <v/>
      </c>
      <c r="D258" s="12">
        <f>Q257</f>
        <v/>
      </c>
      <c r="E258" s="12">
        <f>C258+IF(A258&gt;Variables!$B$25,D258,0)</f>
        <v/>
      </c>
      <c r="F258" s="12">
        <f>C258+D258</f>
        <v/>
      </c>
      <c r="G258" s="11">
        <f>IF(A258&gt;Variables!$B$22,Variables!$B$12,0)</f>
        <v/>
      </c>
      <c r="H258" s="11">
        <f>IF(AND(A258&gt;Variables!$B$22,Variables!$B$14="Yes"),Variables!$B$13,0)</f>
        <v/>
      </c>
      <c r="I258" s="11">
        <f>IF(AA258&gt;Variables!$B$18,0,IF(AA258&gt;Variables!$B$19,CEILING((AA258-Variables!$B$19)/Variables!$B$21,1)*Variables!$B$20,0))</f>
        <v/>
      </c>
      <c r="J258" s="11">
        <f>IF(AA258&lt;=Variables!$B$18,MIN(Variables!$B$9-Variables!$B$8+I258,Variables!$B$26),0)</f>
        <v/>
      </c>
      <c r="K258" s="11">
        <f>IF(AA258&lt;=Variables!$B$18,Variables!$B$27,0)</f>
        <v/>
      </c>
      <c r="L258" s="11">
        <f>IF(AA258&gt;Variables!$B$18,G258+H258,Variables!$B$26-J258)</f>
        <v/>
      </c>
      <c r="M258" s="11">
        <f>IF(AA258&gt;Variables!$B$18,Variables!$B$2-G258-H258,J258+K258)</f>
        <v/>
      </c>
      <c r="N258" s="11">
        <f>Variables!$B$9-AC258</f>
        <v/>
      </c>
      <c r="O258" s="12">
        <f>F258+N258</f>
        <v/>
      </c>
      <c r="P258" s="12">
        <f>MAX(0,C258+N258)</f>
        <v/>
      </c>
      <c r="Q258" s="12">
        <f>D258+MIN(0,C258+N258)</f>
        <v/>
      </c>
      <c r="R258">
        <f>IF(AA258&gt;Variables!$B$18,"Self-funder",IF(AA258&gt;Variables!$B$19,"Tariff band - council contributing","Council pays standard rate"))</f>
        <v/>
      </c>
      <c r="S258" s="12">
        <f>Variables!$B$18</f>
        <v/>
      </c>
      <c r="T258" s="12">
        <f>Variables!$B$19</f>
        <v/>
      </c>
      <c r="U258">
        <f>AA258&lt;=Variables!$B$18</f>
        <v/>
      </c>
      <c r="V258">
        <f>AA258&lt;=Variables!$B$19</f>
        <v/>
      </c>
      <c r="W258">
        <f>P258&lt;=0</f>
        <v/>
      </c>
      <c r="X258" s="12">
        <f>Variables!$B$28</f>
        <v/>
      </c>
      <c r="Y258">
        <f>AB258&lt;=Variables!$B$28</f>
        <v/>
      </c>
      <c r="Z258">
        <f>AB258&lt;=Variables!$B$18</f>
        <v/>
      </c>
      <c r="AA258" s="12">
        <f>AB257</f>
        <v/>
      </c>
      <c r="AB258" s="12">
        <f>AA258+Variables!$B$9-M258</f>
        <v/>
      </c>
      <c r="AC258" s="11">
        <f>IF(MOD(A258-1,Variables!$B$30)=0,Variables!$B$30*M258,0)</f>
        <v/>
      </c>
      <c r="AD258" s="12">
        <f>IF(A258=MATCH(TRUE,$Y$2:$Y$261,0),MAX($AB$2:$AB$261),IF(A258=MATCH(TRUE,$Y$2:$Y$261,0)-1,0,NA()))</f>
        <v/>
      </c>
      <c r="AE258" s="12">
        <f>IF(A258=MATCH(TRUE,$Z$2:$Z$261,0),MAX($AB$2:$AB$261),IF(A258=MATCH(TRUE,$Z$2:$Z$261,0)-1,0,NA()))</f>
        <v/>
      </c>
    </row>
    <row r="259">
      <c r="A259" t="n">
        <v>258</v>
      </c>
      <c r="B259" s="14">
        <f>Variables!$B$24+(A259-1)*7</f>
        <v/>
      </c>
      <c r="C259" s="12">
        <f>P258</f>
        <v/>
      </c>
      <c r="D259" s="12">
        <f>Q258</f>
        <v/>
      </c>
      <c r="E259" s="12">
        <f>C259+IF(A259&gt;Variables!$B$25,D259,0)</f>
        <v/>
      </c>
      <c r="F259" s="12">
        <f>C259+D259</f>
        <v/>
      </c>
      <c r="G259" s="11">
        <f>IF(A259&gt;Variables!$B$22,Variables!$B$12,0)</f>
        <v/>
      </c>
      <c r="H259" s="11">
        <f>IF(AND(A259&gt;Variables!$B$22,Variables!$B$14="Yes"),Variables!$B$13,0)</f>
        <v/>
      </c>
      <c r="I259" s="11">
        <f>IF(AA259&gt;Variables!$B$18,0,IF(AA259&gt;Variables!$B$19,CEILING((AA259-Variables!$B$19)/Variables!$B$21,1)*Variables!$B$20,0))</f>
        <v/>
      </c>
      <c r="J259" s="11">
        <f>IF(AA259&lt;=Variables!$B$18,MIN(Variables!$B$9-Variables!$B$8+I259,Variables!$B$26),0)</f>
        <v/>
      </c>
      <c r="K259" s="11">
        <f>IF(AA259&lt;=Variables!$B$18,Variables!$B$27,0)</f>
        <v/>
      </c>
      <c r="L259" s="11">
        <f>IF(AA259&gt;Variables!$B$18,G259+H259,Variables!$B$26-J259)</f>
        <v/>
      </c>
      <c r="M259" s="11">
        <f>IF(AA259&gt;Variables!$B$18,Variables!$B$2-G259-H259,J259+K259)</f>
        <v/>
      </c>
      <c r="N259" s="11">
        <f>Variables!$B$9-AC259</f>
        <v/>
      </c>
      <c r="O259" s="12">
        <f>F259+N259</f>
        <v/>
      </c>
      <c r="P259" s="12">
        <f>MAX(0,C259+N259)</f>
        <v/>
      </c>
      <c r="Q259" s="12">
        <f>D259+MIN(0,C259+N259)</f>
        <v/>
      </c>
      <c r="R259">
        <f>IF(AA259&gt;Variables!$B$18,"Self-funder",IF(AA259&gt;Variables!$B$19,"Tariff band - council contributing","Council pays standard rate"))</f>
        <v/>
      </c>
      <c r="S259" s="12">
        <f>Variables!$B$18</f>
        <v/>
      </c>
      <c r="T259" s="12">
        <f>Variables!$B$19</f>
        <v/>
      </c>
      <c r="U259">
        <f>AA259&lt;=Variables!$B$18</f>
        <v/>
      </c>
      <c r="V259">
        <f>AA259&lt;=Variables!$B$19</f>
        <v/>
      </c>
      <c r="W259">
        <f>P259&lt;=0</f>
        <v/>
      </c>
      <c r="X259" s="12">
        <f>Variables!$B$28</f>
        <v/>
      </c>
      <c r="Y259">
        <f>AB259&lt;=Variables!$B$28</f>
        <v/>
      </c>
      <c r="Z259">
        <f>AB259&lt;=Variables!$B$18</f>
        <v/>
      </c>
      <c r="AA259" s="12">
        <f>AB258</f>
        <v/>
      </c>
      <c r="AB259" s="12">
        <f>AA259+Variables!$B$9-M259</f>
        <v/>
      </c>
      <c r="AC259" s="11">
        <f>IF(MOD(A259-1,Variables!$B$30)=0,Variables!$B$30*M259,0)</f>
        <v/>
      </c>
      <c r="AD259" s="12">
        <f>IF(A259=MATCH(TRUE,$Y$2:$Y$261,0),MAX($AB$2:$AB$261),IF(A259=MATCH(TRUE,$Y$2:$Y$261,0)-1,0,NA()))</f>
        <v/>
      </c>
      <c r="AE259" s="12">
        <f>IF(A259=MATCH(TRUE,$Z$2:$Z$261,0),MAX($AB$2:$AB$261),IF(A259=MATCH(TRUE,$Z$2:$Z$261,0)-1,0,NA()))</f>
        <v/>
      </c>
    </row>
    <row r="260">
      <c r="A260" t="n">
        <v>259</v>
      </c>
      <c r="B260" s="14">
        <f>Variables!$B$24+(A260-1)*7</f>
        <v/>
      </c>
      <c r="C260" s="12">
        <f>P259</f>
        <v/>
      </c>
      <c r="D260" s="12">
        <f>Q259</f>
        <v/>
      </c>
      <c r="E260" s="12">
        <f>C260+IF(A260&gt;Variables!$B$25,D260,0)</f>
        <v/>
      </c>
      <c r="F260" s="12">
        <f>C260+D260</f>
        <v/>
      </c>
      <c r="G260" s="11">
        <f>IF(A260&gt;Variables!$B$22,Variables!$B$12,0)</f>
        <v/>
      </c>
      <c r="H260" s="11">
        <f>IF(AND(A260&gt;Variables!$B$22,Variables!$B$14="Yes"),Variables!$B$13,0)</f>
        <v/>
      </c>
      <c r="I260" s="11">
        <f>IF(AA260&gt;Variables!$B$18,0,IF(AA260&gt;Variables!$B$19,CEILING((AA260-Variables!$B$19)/Variables!$B$21,1)*Variables!$B$20,0))</f>
        <v/>
      </c>
      <c r="J260" s="11">
        <f>IF(AA260&lt;=Variables!$B$18,MIN(Variables!$B$9-Variables!$B$8+I260,Variables!$B$26),0)</f>
        <v/>
      </c>
      <c r="K260" s="11">
        <f>IF(AA260&lt;=Variables!$B$18,Variables!$B$27,0)</f>
        <v/>
      </c>
      <c r="L260" s="11">
        <f>IF(AA260&gt;Variables!$B$18,G260+H260,Variables!$B$26-J260)</f>
        <v/>
      </c>
      <c r="M260" s="11">
        <f>IF(AA260&gt;Variables!$B$18,Variables!$B$2-G260-H260,J260+K260)</f>
        <v/>
      </c>
      <c r="N260" s="11">
        <f>Variables!$B$9-AC260</f>
        <v/>
      </c>
      <c r="O260" s="12">
        <f>F260+N260</f>
        <v/>
      </c>
      <c r="P260" s="12">
        <f>MAX(0,C260+N260)</f>
        <v/>
      </c>
      <c r="Q260" s="12">
        <f>D260+MIN(0,C260+N260)</f>
        <v/>
      </c>
      <c r="R260">
        <f>IF(AA260&gt;Variables!$B$18,"Self-funder",IF(AA260&gt;Variables!$B$19,"Tariff band - council contributing","Council pays standard rate"))</f>
        <v/>
      </c>
      <c r="S260" s="12">
        <f>Variables!$B$18</f>
        <v/>
      </c>
      <c r="T260" s="12">
        <f>Variables!$B$19</f>
        <v/>
      </c>
      <c r="U260">
        <f>AA260&lt;=Variables!$B$18</f>
        <v/>
      </c>
      <c r="V260">
        <f>AA260&lt;=Variables!$B$19</f>
        <v/>
      </c>
      <c r="W260">
        <f>P260&lt;=0</f>
        <v/>
      </c>
      <c r="X260" s="12">
        <f>Variables!$B$28</f>
        <v/>
      </c>
      <c r="Y260">
        <f>AB260&lt;=Variables!$B$28</f>
        <v/>
      </c>
      <c r="Z260">
        <f>AB260&lt;=Variables!$B$18</f>
        <v/>
      </c>
      <c r="AA260" s="12">
        <f>AB259</f>
        <v/>
      </c>
      <c r="AB260" s="12">
        <f>AA260+Variables!$B$9-M260</f>
        <v/>
      </c>
      <c r="AC260" s="11">
        <f>IF(MOD(A260-1,Variables!$B$30)=0,Variables!$B$30*M260,0)</f>
        <v/>
      </c>
      <c r="AD260" s="12">
        <f>IF(A260=MATCH(TRUE,$Y$2:$Y$261,0),MAX($AB$2:$AB$261),IF(A260=MATCH(TRUE,$Y$2:$Y$261,0)-1,0,NA()))</f>
        <v/>
      </c>
      <c r="AE260" s="12">
        <f>IF(A260=MATCH(TRUE,$Z$2:$Z$261,0),MAX($AB$2:$AB$261),IF(A260=MATCH(TRUE,$Z$2:$Z$261,0)-1,0,NA()))</f>
        <v/>
      </c>
    </row>
    <row r="261">
      <c r="A261" t="n">
        <v>260</v>
      </c>
      <c r="B261" s="14">
        <f>Variables!$B$24+(A261-1)*7</f>
        <v/>
      </c>
      <c r="C261" s="12">
        <f>P260</f>
        <v/>
      </c>
      <c r="D261" s="12">
        <f>Q260</f>
        <v/>
      </c>
      <c r="E261" s="12">
        <f>C261+IF(A261&gt;Variables!$B$25,D261,0)</f>
        <v/>
      </c>
      <c r="F261" s="12">
        <f>C261+D261</f>
        <v/>
      </c>
      <c r="G261" s="11">
        <f>IF(A261&gt;Variables!$B$22,Variables!$B$12,0)</f>
        <v/>
      </c>
      <c r="H261" s="11">
        <f>IF(AND(A261&gt;Variables!$B$22,Variables!$B$14="Yes"),Variables!$B$13,0)</f>
        <v/>
      </c>
      <c r="I261" s="11">
        <f>IF(AA261&gt;Variables!$B$18,0,IF(AA261&gt;Variables!$B$19,CEILING((AA261-Variables!$B$19)/Variables!$B$21,1)*Variables!$B$20,0))</f>
        <v/>
      </c>
      <c r="J261" s="11">
        <f>IF(AA261&lt;=Variables!$B$18,MIN(Variables!$B$9-Variables!$B$8+I261,Variables!$B$26),0)</f>
        <v/>
      </c>
      <c r="K261" s="11">
        <f>IF(AA261&lt;=Variables!$B$18,Variables!$B$27,0)</f>
        <v/>
      </c>
      <c r="L261" s="11">
        <f>IF(AA261&gt;Variables!$B$18,G261+H261,Variables!$B$26-J261)</f>
        <v/>
      </c>
      <c r="M261" s="11">
        <f>IF(AA261&gt;Variables!$B$18,Variables!$B$2-G261-H261,J261+K261)</f>
        <v/>
      </c>
      <c r="N261" s="11">
        <f>Variables!$B$9-AC261</f>
        <v/>
      </c>
      <c r="O261" s="12">
        <f>F261+N261</f>
        <v/>
      </c>
      <c r="P261" s="12">
        <f>MAX(0,C261+N261)</f>
        <v/>
      </c>
      <c r="Q261" s="12">
        <f>D261+MIN(0,C261+N261)</f>
        <v/>
      </c>
      <c r="R261">
        <f>IF(AA261&gt;Variables!$B$18,"Self-funder",IF(AA261&gt;Variables!$B$19,"Tariff band - council contributing","Council pays standard rate"))</f>
        <v/>
      </c>
      <c r="S261" s="12">
        <f>Variables!$B$18</f>
        <v/>
      </c>
      <c r="T261" s="12">
        <f>Variables!$B$19</f>
        <v/>
      </c>
      <c r="U261">
        <f>AA261&lt;=Variables!$B$18</f>
        <v/>
      </c>
      <c r="V261">
        <f>AA261&lt;=Variables!$B$19</f>
        <v/>
      </c>
      <c r="W261">
        <f>P261&lt;=0</f>
        <v/>
      </c>
      <c r="X261" s="12">
        <f>Variables!$B$28</f>
        <v/>
      </c>
      <c r="Y261">
        <f>AB261&lt;=Variables!$B$28</f>
        <v/>
      </c>
      <c r="Z261">
        <f>AB261&lt;=Variables!$B$18</f>
        <v/>
      </c>
      <c r="AA261" s="12">
        <f>AB260</f>
        <v/>
      </c>
      <c r="AB261" s="12">
        <f>AA261+Variables!$B$9-M261</f>
        <v/>
      </c>
      <c r="AC261" s="11">
        <f>IF(MOD(A261-1,Variables!$B$30)=0,Variables!$B$30*M261,0)</f>
        <v/>
      </c>
      <c r="AD261" s="12">
        <f>IF(A261=MATCH(TRUE,$Y$2:$Y$261,0),MAX($AB$2:$AB$261),IF(A261=MATCH(TRUE,$Y$2:$Y$261,0)-1,0,NA()))</f>
        <v/>
      </c>
      <c r="AE261" s="12">
        <f>IF(A261=MATCH(TRUE,$Z$2:$Z$261,0),MAX($AB$2:$AB$261),IF(A261=MATCH(TRUE,$Z$2:$Z$261,0)-1,0,NA()))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5" t="inlineStr">
        <is>
          <t>How this model works (Scotland)</t>
        </is>
      </c>
    </row>
    <row r="2">
      <c r="A2" s="16" t="inlineStr"/>
    </row>
    <row r="3">
      <c r="A3" s="15" t="inlineStr">
        <is>
          <t>1. FUNDING STATUS uses TOTAL wealth = cash + home value.</t>
        </is>
      </c>
    </row>
    <row r="4">
      <c r="A4" s="16" t="inlineStr">
        <is>
          <t xml:space="preserve">   - Total wealth above the UPPER limit  -&gt; self-funder.</t>
        </is>
      </c>
    </row>
    <row r="5">
      <c r="A5" s="16" t="inlineStr">
        <is>
          <t xml:space="preserve">   - Total wealth at or below it         -&gt; council contributes up to the standard rate.</t>
        </is>
      </c>
    </row>
    <row r="6">
      <c r="A6" s="16" t="inlineStr">
        <is>
          <t xml:space="preserve">   The 'Assessed capital' column also shows the 12-week property disregard (home</t>
        </is>
      </c>
    </row>
    <row r="7">
      <c r="A7" s="16" t="inlineStr">
        <is>
          <t xml:space="preserve">   excluded for the first N weeks); it is informational for self-funders.</t>
        </is>
      </c>
    </row>
    <row r="8">
      <c r="A8" s="16" t="inlineStr"/>
    </row>
    <row r="9">
      <c r="A9" s="15" t="inlineStr">
        <is>
          <t>2. FREE PERSONAL / NURSING CARE are not means-tested.</t>
        </is>
      </c>
    </row>
    <row r="10">
      <c r="A10" s="16" t="inlineStr">
        <is>
          <t xml:space="preserve">   The council pays FPC (and FNC if nursing is awarded) to the care home regardless of capital.</t>
        </is>
      </c>
    </row>
    <row r="11">
      <c r="A11" s="16" t="inlineStr">
        <is>
          <t xml:space="preserve">   So a self-funder pays:  fee - FPC - FNC.</t>
        </is>
      </c>
    </row>
    <row r="12">
      <c r="A12" s="16" t="inlineStr">
        <is>
          <t xml:space="preserve">   FPC/FNC are awarded N weeks after entering care (set on the Variables sheet).</t>
        </is>
      </c>
    </row>
    <row r="13">
      <c r="A13" s="16" t="inlineStr"/>
    </row>
    <row r="14">
      <c r="A14" s="15" t="inlineStr">
        <is>
          <t>3. NO DOUBLE COUNTING: the NCHC standard rate already includes FPC and FNC.</t>
        </is>
      </c>
    </row>
    <row r="15">
      <c r="A15" s="16" t="inlineStr">
        <is>
          <t xml:space="preserve">   When council-funded the council pays:  standard rate - assessed contribution.</t>
        </is>
      </c>
    </row>
    <row r="16">
      <c r="A16" s="16" t="inlineStr">
        <is>
          <t xml:space="preserve">   (It does NOT pay standard rate plus FPC/FNC on top.)</t>
        </is>
      </c>
    </row>
    <row r="17">
      <c r="A17" s="16" t="inlineStr"/>
    </row>
    <row r="18">
      <c r="A18" s="15" t="inlineStr">
        <is>
          <t>4. ASSESSED WEEKLY CONTRIBUTION (council-funded residents) =</t>
        </is>
      </c>
    </row>
    <row r="19">
      <c r="A19" s="16" t="inlineStr">
        <is>
          <t xml:space="preserve">   (weekly income - personal expenses allowance) + tariff income, capped at the standard rate.</t>
        </is>
      </c>
    </row>
    <row r="20">
      <c r="A20" s="16" t="inlineStr">
        <is>
          <t xml:space="preserve">   Tariff income = 1 per 250 (or part of 250) of assessed capital over the lower limit.</t>
        </is>
      </c>
    </row>
    <row r="21">
      <c r="A21" s="16" t="inlineStr"/>
    </row>
    <row r="22">
      <c r="A22" s="15" t="inlineStr">
        <is>
          <t>5. TOP-UP = fee - standard rate.</t>
        </is>
      </c>
    </row>
    <row r="23">
      <c r="A23" s="16" t="inlineStr">
        <is>
          <t xml:space="preserve">   If 'Care home accepts standard rate?' = Yes, the top-up is waived (0).</t>
        </is>
      </c>
    </row>
    <row r="24">
      <c r="A24" s="16" t="inlineStr">
        <is>
          <t xml:space="preserve">   If No, the resident pays the top-up every week and capital may eventually run out.</t>
        </is>
      </c>
    </row>
    <row r="25">
      <c r="A25" s="16" t="inlineStr"/>
    </row>
    <row r="26">
      <c r="A26" s="15" t="inlineStr">
        <is>
          <t>6. CASH FLOW: fees are billed in N-week lumps, paid upfront (default 4), so cash</t>
        </is>
      </c>
    </row>
    <row r="27">
      <c r="A27" s="16" t="inlineStr">
        <is>
          <t xml:space="preserve">   dips every N weeks. Cash is spent first; once cash hits 0 the home value is drawn</t>
        </is>
      </c>
    </row>
    <row r="28">
      <c r="A28" s="16" t="inlineStr">
        <is>
          <t xml:space="preserve">   down (the house must be sold or equity released at that point).</t>
        </is>
      </c>
    </row>
    <row r="29">
      <c r="A29" s="16" t="inlineStr"/>
    </row>
    <row r="30">
      <c r="A30" s="15" t="inlineStr">
        <is>
          <t>7. INCOME vs CAPITAL: the upper/lower limits apply to CAPITAL only.</t>
        </is>
      </c>
    </row>
    <row r="31">
      <c r="A31" s="16" t="inlineStr">
        <is>
          <t xml:space="preserve">   Income (alimony + pension) is used for the weekly contribution, not the thresholds.</t>
        </is>
      </c>
    </row>
    <row r="32">
      <c r="A32" s="16" t="inlineStr"/>
    </row>
    <row r="33">
      <c r="A33" s="15" t="inlineStr">
        <is>
          <t>8. MEANS-TEST REVIEW: when total wealth falls to the review threshold (default 60,000)</t>
        </is>
      </c>
    </row>
    <row r="34">
      <c r="A34" s="16" t="inlineStr">
        <is>
          <t xml:space="preserve">   the council carries out the financial assessment, ahead of taking over the subsidy</t>
        </is>
      </c>
    </row>
    <row r="35">
      <c r="A35" s="16" t="inlineStr">
        <is>
          <t xml:space="preserve">   at the upper capital limit (36,750).</t>
        </is>
      </c>
    </row>
    <row r="36">
      <c r="A36" s="16" t="inlineStr"/>
    </row>
    <row r="37">
      <c r="A37" s="15" t="inlineStr">
        <is>
          <t>9. 12-WEEK DISREGARD: the funding boundary uses TOTAL wealth (cash + home), so the</t>
        </is>
      </c>
    </row>
    <row r="38">
      <c r="A38" s="16" t="inlineStr">
        <is>
          <t xml:space="preserve">   home is counted from day one for 'when does the council take over'. The disregard</t>
        </is>
      </c>
    </row>
    <row r="39">
      <c r="A39" s="16" t="inlineStr">
        <is>
          <t xml:space="preserve">   still appears in the 'Assessed capital' column and would only matter if council</t>
        </is>
      </c>
    </row>
    <row r="40">
      <c r="A40" s="16" t="inlineStr">
        <is>
          <t xml:space="preserve">   funding began within the first 12 weeks (not the case here).</t>
        </is>
      </c>
    </row>
    <row r="41">
      <c r="A41" s="16" t="inlineStr"/>
    </row>
    <row r="42">
      <c r="A42" s="15" t="inlineStr">
        <is>
          <t>10. BILLING: fees are billed in N-week lumps, paid upfront (see 'Care home billing</t>
        </is>
      </c>
    </row>
    <row r="43">
      <c r="A43" s="16" t="inlineStr">
        <is>
          <t xml:space="preserve">    period'). The 'Capital (assessment)' columns track wealth smoothly, so funding</t>
        </is>
      </c>
    </row>
    <row r="44">
      <c r="A44" s="16" t="inlineStr">
        <is>
          <t xml:space="preserve">    milestones are unaffected by the lump timing; the Cash/Home columns show the</t>
        </is>
      </c>
    </row>
    <row r="45">
      <c r="A45" s="16" t="inlineStr">
        <is>
          <t xml:space="preserve">    lumpy cash-flow (and the extra upfront buffer needed).</t>
        </is>
      </c>
    </row>
    <row r="46">
      <c r="A46" s="16" t="inlineStr"/>
    </row>
    <row r="47">
      <c r="A47" s="15" t="inlineStr">
        <is>
          <t>Assumptions / caveats</t>
        </is>
      </c>
    </row>
    <row r="48">
      <c r="A48" s="16" t="inlineStr">
        <is>
          <t>- Rates and limits are as supplied; update them each April on the Variables sheet.</t>
        </is>
      </c>
    </row>
    <row r="49">
      <c r="A49" s="16" t="inlineStr">
        <is>
          <t>- Income is counted in full and tax is ignored.</t>
        </is>
      </c>
    </row>
    <row r="50">
      <c r="A50" s="16" t="inlineStr">
        <is>
          <t>- The home is assumed unoccupied (no qualifying relative) so it counts as capital.</t>
        </is>
      </c>
    </row>
    <row r="51">
      <c r="A51" s="16" t="inlineStr">
        <is>
          <t>- A real local-authority financial assessment may vary; treat this as a planning model.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2026-09-27T18:08:09Z</dcterms:created>
  <dcterms:modified xsi:type="dcterms:W3CDTF">2026-09-27T18:08:09Z</dcterms:modified>
</cp:coreProperties>
</file>